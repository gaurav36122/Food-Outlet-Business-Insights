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6820" windowHeight="7650" firstSheet="2" activeTab="6"/>
  </bookViews>
  <sheets>
    <sheet name="Sales_Data" sheetId="1" state="hidden" r:id="rId1"/>
    <sheet name="Sale " sheetId="5" r:id="rId2"/>
    <sheet name="Sheet1" sheetId="12" r:id="rId3"/>
    <sheet name="Product_Master" sheetId="2" r:id="rId4"/>
    <sheet name="Category_discount" sheetId="3" r:id="rId5"/>
    <sheet name="orders and sale by city" sheetId="11" r:id="rId6"/>
    <sheet name="Sale by Category" sheetId="7" r:id="rId7"/>
    <sheet name="orders by region" sheetId="9" r:id="rId8"/>
    <sheet name="step" sheetId="6" r:id="rId9"/>
  </sheets>
  <definedNames>
    <definedName name="_xlnm._FilterDatabase" localSheetId="6" hidden="1">'Sale by Category'!$A$3:$B$16</definedName>
    <definedName name="ExternalData_1" localSheetId="1" hidden="1">'Sale '!$A$1:$P$11</definedName>
    <definedName name="NativeTimeline_Order_Date">#N/A</definedName>
    <definedName name="Slicer_Category">#N/A</definedName>
  </definedNames>
  <calcPr calcId="162913"/>
  <pivotCaches>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C11" i="12" l="1"/>
  <c r="C10" i="12"/>
  <c r="C9" i="12"/>
  <c r="C8" i="12"/>
  <c r="C7" i="12"/>
  <c r="C6" i="12"/>
  <c r="C5" i="12"/>
  <c r="C4" i="12"/>
  <c r="C3" i="12"/>
  <c r="C2" i="12"/>
  <c r="D11" i="12"/>
  <c r="B11" i="12"/>
  <c r="D10" i="12"/>
  <c r="B10" i="12"/>
  <c r="D9" i="12"/>
  <c r="B9" i="12"/>
  <c r="D8" i="12"/>
  <c r="B8" i="12"/>
  <c r="D7" i="12"/>
  <c r="B7" i="12"/>
  <c r="D6" i="12"/>
  <c r="B6" i="12"/>
  <c r="D5" i="12"/>
  <c r="B5" i="12"/>
  <c r="D4" i="12"/>
  <c r="B4" i="12"/>
  <c r="D3" i="12"/>
  <c r="B3" i="12"/>
  <c r="D2" i="12"/>
  <c r="B2" i="12"/>
  <c r="V14" i="5" l="1"/>
  <c r="U12" i="5"/>
  <c r="T12" i="5"/>
  <c r="S12" i="5"/>
  <c r="R12" i="5"/>
  <c r="M2" i="5"/>
  <c r="S2" i="5"/>
  <c r="M3" i="5" l="1"/>
  <c r="M4" i="5"/>
  <c r="M5" i="5"/>
  <c r="M6" i="5"/>
  <c r="M8" i="5"/>
  <c r="M9" i="5"/>
  <c r="M10" i="5"/>
  <c r="M11" i="5"/>
  <c r="I2" i="5"/>
  <c r="I3" i="5"/>
  <c r="I4" i="5"/>
  <c r="I5" i="5"/>
  <c r="I6" i="5"/>
  <c r="I7" i="5"/>
  <c r="I8" i="5"/>
  <c r="I9" i="5"/>
  <c r="I10" i="5"/>
  <c r="I11" i="5"/>
  <c r="W2" i="5"/>
  <c r="W3" i="5"/>
  <c r="W4" i="5"/>
  <c r="W5" i="5"/>
  <c r="W6" i="5"/>
  <c r="W7" i="5"/>
  <c r="W8" i="5"/>
  <c r="W9" i="5"/>
  <c r="W10" i="5"/>
  <c r="W11" i="5"/>
  <c r="V2" i="5"/>
  <c r="Q2" i="5" s="1"/>
  <c r="S3" i="5"/>
  <c r="V3" i="5" s="1"/>
  <c r="Q3" i="5" s="1"/>
  <c r="S4" i="5"/>
  <c r="V4" i="5" s="1"/>
  <c r="Q4" i="5" s="1"/>
  <c r="S5" i="5"/>
  <c r="V5" i="5" s="1"/>
  <c r="Q5" i="5" s="1"/>
  <c r="S6" i="5"/>
  <c r="S7" i="5"/>
  <c r="R7" i="5" s="1"/>
  <c r="S8" i="5"/>
  <c r="V8" i="5" s="1"/>
  <c r="Q8" i="5" s="1"/>
  <c r="S9" i="5"/>
  <c r="S10" i="5"/>
  <c r="S11" i="5"/>
  <c r="V11" i="5" s="1"/>
  <c r="U11" i="5" s="1"/>
  <c r="D2" i="5"/>
  <c r="D3" i="5"/>
  <c r="D4" i="5"/>
  <c r="D5" i="5"/>
  <c r="D6" i="5"/>
  <c r="D7" i="5"/>
  <c r="D8" i="5"/>
  <c r="D9" i="5"/>
  <c r="D10" i="5"/>
  <c r="D11" i="5"/>
  <c r="C9" i="5"/>
  <c r="C2" i="5"/>
  <c r="C3" i="5"/>
  <c r="C4" i="5"/>
  <c r="C5" i="5"/>
  <c r="C6" i="5"/>
  <c r="C7" i="5"/>
  <c r="C8" i="5"/>
  <c r="C10" i="5"/>
  <c r="C11" i="5"/>
  <c r="O11" i="5"/>
  <c r="O8" i="5"/>
  <c r="O9" i="5"/>
  <c r="O10" i="5"/>
  <c r="O6" i="5"/>
  <c r="O5" i="5"/>
  <c r="O3" i="5"/>
  <c r="O4" i="5"/>
  <c r="O2" i="5"/>
  <c r="R2" i="5" s="1"/>
  <c r="A3" i="3"/>
  <c r="A4" i="3"/>
  <c r="A5" i="3"/>
  <c r="A2" i="3"/>
  <c r="Q11" i="5" l="1"/>
  <c r="U8" i="5"/>
  <c r="U4" i="5"/>
  <c r="T5" i="5"/>
  <c r="T4" i="5"/>
  <c r="R4" i="5"/>
  <c r="R5" i="5"/>
  <c r="R3" i="5"/>
  <c r="R10" i="5"/>
  <c r="R9" i="5"/>
  <c r="R11" i="5"/>
  <c r="R6" i="5"/>
  <c r="R8" i="5"/>
  <c r="V10" i="5"/>
  <c r="Q10" i="5" s="1"/>
  <c r="V9" i="5"/>
  <c r="V7" i="5"/>
  <c r="V6" i="5"/>
  <c r="Q6" i="5" s="1"/>
  <c r="V12" i="5" l="1"/>
  <c r="U6" i="5"/>
  <c r="U5" i="5"/>
  <c r="Q7" i="5"/>
  <c r="U7" i="5"/>
  <c r="U10" i="5"/>
  <c r="Q9" i="5"/>
  <c r="U9" i="5"/>
  <c r="U2" i="5"/>
  <c r="U3" i="5"/>
  <c r="T6" i="5"/>
  <c r="T7" i="5"/>
  <c r="T8" i="5"/>
  <c r="T9" i="5"/>
  <c r="T10" i="5"/>
  <c r="T11" i="5"/>
  <c r="T2" i="5"/>
  <c r="T3" i="5"/>
</calcChain>
</file>

<file path=xl/connections.xml><?xml version="1.0" encoding="utf-8"?>
<connections xmlns="http://schemas.openxmlformats.org/spreadsheetml/2006/main">
  <connection id="1" keepAlive="1" name="Query - Table1_2" description="Connection to the 'Table1_2' query in the workbook." type="5" refreshedVersion="6"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<sst xmlns="http://schemas.openxmlformats.org/spreadsheetml/2006/main" count="308" uniqueCount="143">
  <si>
    <t>Order_ID</t>
  </si>
  <si>
    <t>Order_Date</t>
  </si>
  <si>
    <t>Customer_Name</t>
  </si>
  <si>
    <t>Email</t>
  </si>
  <si>
    <t>City</t>
  </si>
  <si>
    <t>Region</t>
  </si>
  <si>
    <t>Product_ID</t>
  </si>
  <si>
    <t>Quantity</t>
  </si>
  <si>
    <t>Sales_Rep</t>
  </si>
  <si>
    <t>Status</t>
  </si>
  <si>
    <t>Discount</t>
  </si>
  <si>
    <t>Payment_Mode</t>
  </si>
  <si>
    <t>12-01-2024</t>
  </si>
  <si>
    <t>neha bajaj</t>
  </si>
  <si>
    <t>neha@abc.com</t>
  </si>
  <si>
    <t>Mumbai</t>
  </si>
  <si>
    <t>west</t>
  </si>
  <si>
    <t>P101</t>
  </si>
  <si>
    <t>Rahul mehta</t>
  </si>
  <si>
    <t>delivered</t>
  </si>
  <si>
    <t>5%</t>
  </si>
  <si>
    <t>Online</t>
  </si>
  <si>
    <t>15-01-2024</t>
  </si>
  <si>
    <t xml:space="preserve">  ARJUN VERMA  </t>
  </si>
  <si>
    <t>arjun@xyz.com</t>
  </si>
  <si>
    <t>Delhi</t>
  </si>
  <si>
    <t>north</t>
  </si>
  <si>
    <t>P102</t>
  </si>
  <si>
    <t>priya shah</t>
  </si>
  <si>
    <t>Returned</t>
  </si>
  <si>
    <t>Cash</t>
  </si>
  <si>
    <t>16-01-2024</t>
  </si>
  <si>
    <t>Sneha rao</t>
  </si>
  <si>
    <t>sneha@abc.com</t>
  </si>
  <si>
    <t>pune</t>
  </si>
  <si>
    <t>P105</t>
  </si>
  <si>
    <t>Rahul Mehta</t>
  </si>
  <si>
    <t>Delivered</t>
  </si>
  <si>
    <t>n/a</t>
  </si>
  <si>
    <t>18-01-2024</t>
  </si>
  <si>
    <t>Ramesh Gupta</t>
  </si>
  <si>
    <t>ramesh@abc.com</t>
  </si>
  <si>
    <t>Chennai</t>
  </si>
  <si>
    <t>south</t>
  </si>
  <si>
    <t>P103</t>
  </si>
  <si>
    <t>Aman Jain</t>
  </si>
  <si>
    <t>0%</t>
  </si>
  <si>
    <t>Card</t>
  </si>
  <si>
    <t>20-01-2024</t>
  </si>
  <si>
    <t>Simran Kaur</t>
  </si>
  <si>
    <t>simran@xyz.com</t>
  </si>
  <si>
    <t>North</t>
  </si>
  <si>
    <t xml:space="preserve">  Priya Shah </t>
  </si>
  <si>
    <t>10%</t>
  </si>
  <si>
    <t>21-01-2024</t>
  </si>
  <si>
    <t>Rahul Jain</t>
  </si>
  <si>
    <t>rahul@abc.com</t>
  </si>
  <si>
    <t>Bangalore</t>
  </si>
  <si>
    <t>South</t>
  </si>
  <si>
    <t>P104</t>
  </si>
  <si>
    <t>Deepak Sharma</t>
  </si>
  <si>
    <t>pending</t>
  </si>
  <si>
    <t>25-01-2024</t>
  </si>
  <si>
    <t xml:space="preserve">  Anjali Singh  </t>
  </si>
  <si>
    <t>anjali@xyz.com</t>
  </si>
  <si>
    <t>Pune</t>
  </si>
  <si>
    <t>WEST</t>
  </si>
  <si>
    <t>26-01-2024</t>
  </si>
  <si>
    <t>Karan Patel</t>
  </si>
  <si>
    <t>karan@abc.com</t>
  </si>
  <si>
    <t>7%</t>
  </si>
  <si>
    <t>29-01-2024</t>
  </si>
  <si>
    <t>Manish Joshi</t>
  </si>
  <si>
    <t>manish@abc.com</t>
  </si>
  <si>
    <t>31-01-2024</t>
  </si>
  <si>
    <t>Kavita Bansal</t>
  </si>
  <si>
    <t>kavita@abc.com</t>
  </si>
  <si>
    <t>Product_Name</t>
  </si>
  <si>
    <t>Category</t>
  </si>
  <si>
    <t>Unit_Price</t>
  </si>
  <si>
    <t>Bluetooth Speaker</t>
  </si>
  <si>
    <t>Electronics</t>
  </si>
  <si>
    <t>Office Chair</t>
  </si>
  <si>
    <t>Furniture</t>
  </si>
  <si>
    <t>Coffee Maker</t>
  </si>
  <si>
    <t>Kitchen</t>
  </si>
  <si>
    <t>Study Table</t>
  </si>
  <si>
    <t>Laptop Stand</t>
  </si>
  <si>
    <t>Accessories</t>
  </si>
  <si>
    <t>Standard_Discount</t>
  </si>
  <si>
    <t>Column1</t>
  </si>
  <si>
    <t>Priya Shah</t>
  </si>
  <si>
    <t>Anjali Singh</t>
  </si>
  <si>
    <t>Neha Bajaj</t>
  </si>
  <si>
    <t>West</t>
  </si>
  <si>
    <t>Arjun Verma</t>
  </si>
  <si>
    <t>Sneha Rao</t>
  </si>
  <si>
    <t>Pending</t>
  </si>
  <si>
    <t>Product_id</t>
  </si>
  <si>
    <t>1. Remove extra spaces from Customer_Name.</t>
  </si>
  <si>
    <t>2. Convert all names in Customer_Name to proper case.</t>
  </si>
  <si>
    <t>3. Fill missing discounts using VLOOKUP from Category_Discounts sheet.</t>
  </si>
  <si>
    <t>4. Convert Order_Date into dd-mm-yyyy format.</t>
  </si>
  <si>
    <t>5. Calculate Total Amount (Before Discount) = Quantity * Unit_Price.</t>
  </si>
  <si>
    <t>6. Calculate Final Amount (After Discount) = Total_Amount * (1 - Discount).</t>
  </si>
  <si>
    <t>7. Add a Month column using TEXT(Order_Date,"mmm").</t>
  </si>
  <si>
    <t>8. Add a Year column using YEAR(Order_Date).</t>
  </si>
  <si>
    <t>9. Identify High-Value Orders (IF Final_Amount &gt; 10000 then "High Value" else "Normal").</t>
  </si>
  <si>
    <t>10. Replace missing City values with "Not Specified" using IF().</t>
  </si>
  <si>
    <t>11. Create a Full Order Label = CONCATENATE(Order_ID, " - ", Customer_Name, " - ", Product).</t>
  </si>
  <si>
    <t>12. Use COUNTIF to count the number of orders from "Mumbai".</t>
  </si>
  <si>
    <t>13. Use AVERAGEIF to find the average Final Amount for "Electronics" category.</t>
  </si>
  <si>
    <t>14. Use SUMIFS to calculate total revenue for "Delhi" where Status is "Completed".</t>
  </si>
  <si>
    <t>15. Create a Pivot Table for Category-wise Sum of Final Amount and Average of Discount.</t>
  </si>
  <si>
    <t>16. Apply Conditional Formatting to highlight Final Amount &gt; 10000.</t>
  </si>
  <si>
    <t>17. Sort data by Category, then by Final Amount (Descending).</t>
  </si>
  <si>
    <t>18. Filter only Completed orders.</t>
  </si>
  <si>
    <t>19. Create a Summary Dashboard showing:</t>
  </si>
  <si>
    <t>   - Total Orders</t>
  </si>
  <si>
    <t>   - Average Order Value</t>
  </si>
  <si>
    <t>   - Top City by Revenue</t>
  </si>
  <si>
    <t>   - Monthly Sales Trend (Chart)</t>
  </si>
  <si>
    <t>Month</t>
  </si>
  <si>
    <t>Year</t>
  </si>
  <si>
    <t>Total Amount</t>
  </si>
  <si>
    <t>Unit Price</t>
  </si>
  <si>
    <t>High-Value Orders</t>
  </si>
  <si>
    <t>Final Amount</t>
  </si>
  <si>
    <t>order label</t>
  </si>
  <si>
    <t>order by city</t>
  </si>
  <si>
    <t>delhi</t>
  </si>
  <si>
    <t>Average amount by category</t>
  </si>
  <si>
    <t>Total Revenu by city</t>
  </si>
  <si>
    <t>Row Labels</t>
  </si>
  <si>
    <t>Grand Total</t>
  </si>
  <si>
    <t>Total Amounts</t>
  </si>
  <si>
    <t>Sum of Order_ID</t>
  </si>
  <si>
    <t>Sales_Representative</t>
  </si>
  <si>
    <t>2024</t>
  </si>
  <si>
    <t>Jan</t>
  </si>
  <si>
    <t>Sum of Total Amount</t>
  </si>
  <si>
    <t>google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</si>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</sst>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dd/mm/yyyy"/>
    <numFmt numFmtId="165" formatCode="_(* #,##0.0_);_(* \(#,##0.0\);_(* &quot;-&quot;??_);_(@_)"/>
    <numFmt numFmtId="166" formatCode="#,&quot;k&quot;"/>
  </numFmts>
  <fonts count="6" x14ac:knownFonts="1">
    <font>
      <sz val="11"/>
      <color theme="1"/>
      <name val="Calibri"/>
      <family val="2"/>
      <scheme val="minor"/>
    </font>
    <font>
      <b/>
      <sz val="11"/>
      <name val="Calibri"/>
      <family val="2"/>
    </font>
    <font>
      <sz val="11"/>
      <color theme="1"/>
      <name val="Calibri"/>
      <family val="2"/>
      <scheme val="minor"/>
    </font>
    <font>
      <sz val="7"/>
      <color theme="1"/>
      <name val="Arial"/>
      <family val="2"/>
    </font>
    <font>
      <b/>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0" fontId="5" fillId="0" borderId="0" applyNumberFormat="0" applyFill="0" applyBorder="0" applyAlignment="0" applyProtection="0"/>
  </cellStyleXfs>
  <cellXfs count="26">
    <xf numFmtId="0" fontId="0" fillId="0" borderId="0" xfId="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NumberFormat="1"/>
    <xf numFmtId="9" fontId="0" fillId="0" borderId="0" xfId="2" applyFont="1"/>
    <xf numFmtId="0" fontId="3" fillId="0" borderId="0" xfId="0" applyFont="1"/>
    <xf numFmtId="164" fontId="0" fillId="0" borderId="0" xfId="0" applyNumberFormat="1"/>
    <xf numFmtId="0" fontId="0" fillId="0" borderId="0" xfId="0" applyNumberFormat="1" applyBorder="1"/>
    <xf numFmtId="0" fontId="0" fillId="0" borderId="0" xfId="0" applyBorder="1"/>
    <xf numFmtId="1" fontId="0" fillId="0" borderId="0" xfId="0" applyNumberFormat="1"/>
    <xf numFmtId="165" fontId="0" fillId="0" borderId="0" xfId="1" applyNumberFormat="1" applyFont="1"/>
    <xf numFmtId="1"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0" applyNumberFormat="1" applyAlignment="1">
      <alignment wrapText="1"/>
    </xf>
    <xf numFmtId="0" fontId="4" fillId="2" borderId="3" xfId="0" applyNumberFormat="1" applyFont="1" applyFill="1" applyBorder="1"/>
    <xf numFmtId="0" fontId="0" fillId="3" borderId="3" xfId="0" applyNumberFormat="1" applyFont="1" applyFill="1" applyBorder="1"/>
    <xf numFmtId="165" fontId="0" fillId="3" borderId="3" xfId="1" applyNumberFormat="1" applyFont="1" applyFill="1" applyBorder="1"/>
    <xf numFmtId="1" fontId="0" fillId="3" borderId="3" xfId="1" applyNumberFormat="1" applyFont="1" applyFill="1" applyBorder="1"/>
    <xf numFmtId="0" fontId="0" fillId="0" borderId="3" xfId="0" applyNumberFormat="1" applyFont="1" applyBorder="1"/>
    <xf numFmtId="165" fontId="0" fillId="0" borderId="3" xfId="1" applyNumberFormat="1" applyFont="1" applyBorder="1"/>
    <xf numFmtId="1" fontId="0" fillId="0" borderId="3" xfId="1" applyNumberFormat="1" applyFont="1" applyBorder="1"/>
    <xf numFmtId="0" fontId="5" fillId="0" borderId="0" xfId="3"/>
  </cellXfs>
  <cellStyles count="4">
    <cellStyle name="Comma" xfId="1" builtinId="3"/>
    <cellStyle name="Hyperlink" xfId="3" builtinId="8"/>
    <cellStyle name="Normal" xfId="0" builtinId="0"/>
    <cellStyle name="Percent" xfId="2" builtinId="5"/>
  </cellStyles>
  <dxfs count="56">
    <dxf>
      <font>
        <b val="0"/>
        <i val="0"/>
        <strike val="0"/>
        <condense val="0"/>
        <extend val="0"/>
        <outline val="0"/>
        <shadow val="0"/>
        <u val="none"/>
        <vertAlign val="baseline"/>
        <sz val="7"/>
        <color theme="1"/>
        <name val="Arial"/>
        <scheme val="none"/>
      </font>
    </dxf>
    <dxf>
      <font>
        <b val="0"/>
        <i val="0"/>
        <strike val="0"/>
        <condense val="0"/>
        <extend val="0"/>
        <outline val="0"/>
        <shadow val="0"/>
        <u val="none"/>
        <vertAlign val="baseline"/>
        <sz val="7"/>
        <color theme="1"/>
        <name val="Arial"/>
        <scheme val="none"/>
      </font>
    </dxf>
    <dxf>
      <font>
        <b val="0"/>
        <i val="0"/>
        <strike val="0"/>
        <condense val="0"/>
        <extend val="0"/>
        <outline val="0"/>
        <shadow val="0"/>
        <u val="none"/>
        <vertAlign val="baseline"/>
        <sz val="7"/>
        <color theme="1"/>
        <name val="Arial"/>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numFmt numFmtId="1" formatCode="0"/>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65" formatCode="_(* #,##0.0_);_(* \(#,##0.0\);_(* &quot;-&quot;??_);_(@_)"/>
    </dxf>
    <dxf>
      <numFmt numFmtId="165" formatCode="_(* #,##0.0_);_(* \(#,##0.0\);_(* &quot;-&quot;??_);_(@_)"/>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border diagonalUp="0" diagonalDown="0" outline="0">
        <left/>
        <right/>
        <top/>
        <bottom/>
      </border>
    </dxf>
    <dxf>
      <numFmt numFmtId="0" formatCode="Genera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0" formatCode="General"/>
    </dxf>
    <dxf>
      <numFmt numFmtId="0" formatCode="General"/>
    </dxf>
    <dxf>
      <fill>
        <patternFill>
          <bgColor rgb="FF00B050"/>
        </patternFill>
      </fill>
    </dxf>
    <dxf>
      <fill>
        <patternFill>
          <bgColor rgb="FFFFFF66"/>
        </patternFill>
      </fill>
    </dxf>
    <dxf>
      <font>
        <color rgb="FF006100"/>
      </font>
      <fill>
        <patternFill>
          <bgColor rgb="FFC6EF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[Ecommerce_Data_Cleaning_Project (1).xlsx]orders and sale by city!PivotTable1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Orders and amount by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s>
    <c:plotArea>
      <c:layout/>
      <c:barChart>
        <c:barDir val="bar"/>
        <c:grouping val="clustered"/>
        <c:varyColors val="0"/>
        <c:ser>
          <c:idx val="0"/>
          <c:order val="0"/>
          <c:tx>
            <c:strRef>
              <c:f>'orders and sale by city'!$B$3</c:f>
              <c:strCache>
                <c:ptCount val="1"/>
                <c:pt idx="0">
                  <c:v>Sum of Order_ID</c:v>
                </c:pt>
              </c:strCache>
            </c:strRef>
          </c:tx>
          <c:spPr>
            <a:solidFill>
              <a:schemeClr val="accent1"/>
            </a:solidFill>
            <a:ln>
              <a:noFill/>
            </a:ln>
            <a:effectLst/>
          </c:spPr>
          <c:invertIfNegative val="0"/>
          <c:dLbls>
            <c:delete val="1"/>
          </c:dLbls>
          <c:cat>
            <c:strRef>
              <c:f>'orders and sale by city'!$A$4:$A$9</c:f>
              <c:strCache>
                <c:ptCount val="5"/>
                <c:pt idx="0">
                  <c:v>Chennai</c:v>
                </c:pt>
                <c:pt idx="1">
                  <c:v>Mumbai</c:v>
                </c:pt>
                <c:pt idx="2">
                  <c:v>Delhi</c:v>
                </c:pt>
                <c:pt idx="3">
                  <c:v>Pune</c:v>
                </c:pt>
                <c:pt idx="4">
                  <c:v>Bangalore</c:v>
                </c:pt>
              </c:strCache>
            </c:strRef>
          </c:cat>
          <c:val>
            <c:numRef>
              <c:f>'orders and sale by city'!$B$4:$B$9</c:f>
              <c:numCache>
                <c:formatCode>General</c:formatCode>
                <c:ptCount val="5"/>
                <c:pt idx="0">
                  <c:v>1010</c:v>
                </c:pt>
                <c:pt idx="1">
                  <c:v>2009</c:v>
                </c:pt>
                <c:pt idx="2">
                  <c:v>3011</c:v>
                </c:pt>
                <c:pt idx="3">
                  <c:v>2010</c:v>
                </c:pt>
                <c:pt idx="4">
                  <c:v>2015</c:v>
                </c:pt>
              </c:numCache>
            </c:numRef>
          </c:val>
          <c:extLst>
            <c:ext xmlns:c16="http://schemas.microsoft.com/office/drawing/2014/chart" uri="{C3380CC4-5D6E-409C-BE32-E72D297353CC}">
              <c16:uniqueId val="{00000000-C8D3-4076-B485-12D2E5FA186A}"/>
            </c:ext>
          </c:extLst>
        </c:ser>
        <c:ser>
          <c:idx val="1"/>
          <c:order val="1"/>
          <c:tx>
            <c:strRef>
              <c:f>'orders and sale by city'!$C$3</c:f>
              <c:strCache>
                <c:ptCount val="1"/>
                <c:pt idx="0">
                  <c:v>Sum of Total Amount</c:v>
                </c:pt>
              </c:strCache>
            </c:strRef>
          </c:tx>
          <c:spPr>
            <a:solidFill>
              <a:schemeClr val="accent2"/>
            </a:solidFill>
            <a:ln>
              <a:noFill/>
            </a:ln>
            <a:effectLst/>
          </c:spPr>
          <c:invertIfNegative val="0"/>
          <c:dLbls>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'orders and sale by city'!$A$4:$A$9</c:f>
              <c:strCache>
                <c:ptCount val="5"/>
                <c:pt idx="0">
                  <c:v>Chennai</c:v>
                </c:pt>
                <c:pt idx="1">
                  <c:v>Mumbai</c:v>
                </c:pt>
                <c:pt idx="2">
                  <c:v>Delhi</c:v>
                </c:pt>
                <c:pt idx="3">
                  <c:v>Pune</c:v>
                </c:pt>
                <c:pt idx="4">
                  <c:v>Bangalore</c:v>
                </c:pt>
              </c:strCache>
            </c:strRef>
          </c:cat>
          <c:val>
            <c:numRef>
              <c:f>'orders and sale by city'!$C$4:$C$9</c:f>
              <c:numCache>
                <c:formatCode>General</c:formatCode>
                <c:ptCount val="5"/>
                <c:pt idx="0">
                  <c:v>5000</c:v>
                </c:pt>
                <c:pt idx="1">
                  <c:v>19500</c:v>
                </c:pt>
                <c:pt idx="2">
                  <c:v>20000</c:v>
                </c:pt>
                <c:pt idx="3">
                  <c:v>21000</c:v>
                </c:pt>
                <c:pt idx="4">
                  <c:v>43000</c:v>
                </c:pt>
              </c:numCache>
            </c:numRef>
          </c:val>
          <c:extLst>
            <c:ext xmlns:c16="http://schemas.microsoft.com/office/drawing/2014/chart" uri="{C3380CC4-5D6E-409C-BE32-E72D297353CC}">
              <c16:uniqueId val="{00000001-C8D3-4076-B485-12D2E5FA186A}"/>
            </c:ext>
          </c:extLst>
        </c:ser>
        <c:dLbls>
          <c:dLblPos val="outEnd"/>
          <c:showLegendKey val="0"/>
          <c:showVal val="1"/>
          <c:showCatName val="0"/>
          <c:showSerName val="0"/>
          <c:showPercent val="0"/>
          <c:showBubbleSize val="0"/>
        </c:dLbls>
        <c:gapWidth val="219"/>
        <c:axId val="1713666063"/>
        <c:axId val="1713653583"/>
      </c:barChart>
      <c:catAx>
        <c:axId val="171366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53583"/>
        <c:crosses val="autoZero"/>
        <c:auto val="1"/>
        <c:lblAlgn val="ctr"/>
        <c:lblOffset val="100"/>
        <c:noMultiLvlLbl val="0"/>
      </c:catAx>
      <c:valAx>
        <c:axId val="1713653583"/>
        <c:scaling>
          <c:orientation val="minMax"/>
        </c:scaling>
        <c:delete val="0"/>
        <c:axPos val="b"/>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660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[Ecommerce_Data_Cleaning_Project (1).xlsx]Sale by Category!PivotTable1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'Sale by Category'!$B$3</c:f>
              <c:strCache>
                <c:ptCount val="1"/>
                <c:pt idx="0">
                  <c:v>Total</c:v>
                </c:pt>
              </c:strCache>
            </c:strRef>
          </c:tx>
          <c:spPr>
            <a:solidFill>
              <a:schemeClr val="accent1"/>
            </a:solidFill>
            <a:ln>
              <a:noFill/>
            </a:ln>
            <a:effectLst/>
          </c:spPr>
          <c:invertIfNegative val="0"/>
          <c:cat>
            <c:multiLvlStrRef>
              <c:f>'Sale by Category'!$A$4:$A$16</c:f>
              <c:multiLvlStrCache>
                <c:ptCount val="4"/>
                <c:lvl>
                  <c:pt idx="0">
                    <c:v>2024</c:v>
                  </c:pt>
                  <c:pt idx="1">
                    <c:v>2024</c:v>
                  </c:pt>
                  <c:pt idx="2">
                    <c:v>2024</c:v>
                  </c:pt>
                  <c:pt idx="3">
                    <c:v>2024</c:v>
                  </c:pt>
                </c:lvl>
                <c:lvl>
                  <c:pt idx="0">
                    <c:v>Jan</c:v>
                  </c:pt>
                  <c:pt idx="1">
                    <c:v>Jan</c:v>
                  </c:pt>
                  <c:pt idx="2">
                    <c:v>Jan</c:v>
                  </c:pt>
                  <c:pt idx="3">
                    <c:v>Jan</c:v>
                  </c:pt>
                </c:lvl>
                <c:lvl>
                  <c:pt idx="0">
                    <c:v>Accessories</c:v>
                  </c:pt>
                  <c:pt idx="1">
                    <c:v>Electronics</c:v>
                  </c:pt>
                  <c:pt idx="2">
                    <c:v>Furniture</c:v>
                  </c:pt>
                  <c:pt idx="3">
                    <c:v>Kitchen</c:v>
                  </c:pt>
                </c:lvl>
              </c:multiLvlStrCache>
            </c:multiLvlStrRef>
          </c:cat>
          <c:val>
            <c:numRef>
              <c:f>'Sale by Category'!$B$4:$B$16</c:f>
              <c:numCache>
                <c:formatCode>General</c:formatCode>
                <c:ptCount val="4"/>
                <c:pt idx="0">
                  <c:v>6000</c:v>
                </c:pt>
                <c:pt idx="1">
                  <c:v>17500</c:v>
                </c:pt>
                <c:pt idx="2">
                  <c:v>70000</c:v>
                </c:pt>
                <c:pt idx="3">
                  <c:v>15000</c:v>
                </c:pt>
              </c:numCache>
            </c:numRef>
          </c:val>
          <c:extLst>
            <c:ext xmlns:c16="http://schemas.microsoft.com/office/drawing/2014/chart" uri="{C3380CC4-5D6E-409C-BE32-E72D297353CC}">
              <c16:uniqueId val="{00000000-8B73-42BA-9042-9239F9876578}"/>
            </c:ext>
          </c:extLst>
        </c:ser>
        <c:dLbls>
          <c:showLegendKey val="0"/>
          <c:showVal val="0"/>
          <c:showCatName val="0"/>
          <c:showSerName val="0"/>
          <c:showPercent val="0"/>
          <c:showBubbleSize val="0"/>
        </c:dLbls>
        <c:gapWidth val="219"/>
        <c:overlap val="-27"/>
        <c:axId val="958872319"/>
        <c:axId val="958883551"/>
      </c:barChart>
      <c:catAx>
        <c:axId val="95887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883551"/>
        <c:crosses val="autoZero"/>
        <c:auto val="1"/>
        <c:lblAlgn val="ctr"/>
        <c:lblOffset val="100"/>
        <c:noMultiLvlLbl val="0"/>
      </c:catAx>
      <c:valAx>
        <c:axId val="95888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8723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[Ecommerce_Data_Cleaning_Project (1).xlsx]orders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 by</a:t>
            </a:r>
            <a:r>
              <a:rPr lang="en-US" baseline="0"/>
              <a: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manualLayout>
          <c:layoutTarget val="inner"/>
          <c:xMode val="edge"/>
          <c:yMode val="edge"/>
          <c:x val="0.18970603674540679"/>
          <c:y val="0.26791447944006996"/>
          <c:w val="0.70221981627296592"/>
          <c:h val="0.43957239720034996"/>
        </c:manualLayout>
      </c:layout>
      <c:barChart>
        <c:barDir val="col"/>
        <c:grouping val="clustered"/>
        <c:varyColors val="0"/>
        <c:ser>
          <c:idx val="0"/>
          <c:order val="0"/>
          <c:tx>
            <c:strRef>
              <c:f>'orders by region'!$B$1</c:f>
              <c:strCache>
                <c:ptCount val="1"/>
                <c:pt idx="0">
                  <c:v>Total</c:v>
                </c:pt>
              </c:strCache>
            </c:strRef>
          </c:tx>
          <c:spPr>
            <a:solidFill>
              <a:schemeClr val="accent1"/>
            </a:solidFill>
            <a:ln>
              <a:noFill/>
            </a:ln>
            <a:effectLst/>
          </c:spPr>
          <c:invertIfNegative val="0"/>
          <c:dLbls>
            <c:delete val="1"/>
          </c:dLbls>
          <c:cat>
            <c:strRef>
              <c:f>'orders by region'!$A$2:$A$5</c:f>
              <c:strCache>
                <c:ptCount val="3"/>
                <c:pt idx="0">
                  <c:v>North</c:v>
                </c:pt>
                <c:pt idx="1">
                  <c:v>South</c:v>
                </c:pt>
                <c:pt idx="2">
                  <c:v>West</c:v>
                </c:pt>
              </c:strCache>
            </c:strRef>
          </c:cat>
          <c:val>
            <c:numRef>
              <c:f>'orders by region'!$B$2:$B$5</c:f>
              <c:numCache>
                <c:formatCode>General</c:formatCode>
                <c:ptCount val="3"/>
                <c:pt idx="0">
                  <c:v>2007</c:v>
                </c:pt>
                <c:pt idx="1">
                  <c:v>4029</c:v>
                </c:pt>
                <c:pt idx="2">
                  <c:v>4019</c:v>
                </c:pt>
              </c:numCache>
            </c:numRef>
          </c:val>
          <c:extLst>
            <c:ext xmlns:c16="http://schemas.microsoft.com/office/drawing/2014/chart" uri="{C3380CC4-5D6E-409C-BE32-E72D297353CC}">
              <c16:uniqueId val="{00000000-82F0-4F1F-9676-4C385D5AD498}"/>
            </c:ext>
          </c:extLst>
        </c:ser>
        <c:dLbls>
          <c:showLegendKey val="0"/>
          <c:showVal val="1"/>
          <c:showCatName val="0"/>
          <c:showSerName val="0"/>
          <c:showPercent val="0"/>
          <c:showBubbleSize val="0"/>
        </c:dLbls>
        <c:gapWidth val="219"/>
        <c:axId val="1713657327"/>
        <c:axId val="1713664399"/>
      </c:barChart>
      <c:catAx>
        <c:axId val="171365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64399"/>
        <c:crosses val="autoZero"/>
        <c:auto val="1"/>
        <c:lblAlgn val="ctr"/>
        <c:lblOffset val="100"/>
        <c:noMultiLvlLbl val="0"/>
      </c:catAx>
      <c:valAx>
        <c:axId val="171366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5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hyperlink" Target="#'Sale by Category'!A1"/></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17</xdr:col>
      <xdr:colOff>769003</xdr:colOff>
      <xdr:row>14</xdr:row>
      <xdr:rowOff>82550</xdr:rowOff>
    </xdr:from>
    <xdr:to>
      <xdr:col>19</xdr:col>
      <xdr:colOff>38101</xdr:colOff>
      <xdr:row>18</xdr:row>
      <xdr:rowOff>82550</xdr:rowOff>
    </xdr:to>
    <xdr:sp macro="" textlink="$V$14">
      <xdr:nvSpPr>
        <xdr:cNvPr id="8" name="Rectangle 7"/>
        <xdr:cNvSpPr/>
      </xdr:nvSpPr>
      <xdr:spPr>
        <a:xfrm>
          <a:off x="15793103" y="2711450"/>
          <a:ext cx="1580498" cy="736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D88AF82-E54D-4176-9DA0-C8489F8AC072}" type="TxLink">
            <a:rPr lang="en-US" sz="2000" b="0" i="0" u="none" strike="noStrike">
              <a:solidFill>
                <a:srgbClr val="000000"/>
              </a:solidFill>
              <a:latin typeface="Bell MT" panose="02020503060305020303" pitchFamily="18" charset="0"/>
              <a:ea typeface="Calibri"/>
              <a:cs typeface="Calibri"/>
            </a:rPr>
            <a:pPr algn="ctr"/>
            <a:t>109k</a:t>
          </a:fld>
          <a:endParaRPr lang="en-US" sz="4400">
            <a:latin typeface="Bell MT" panose="02020503060305020303" pitchFamily="18" charset="0"/>
          </a:endParaRPr>
        </a:p>
      </xdr:txBody>
    </xdr:sp>
    <xdr:clientData/>
  </xdr:twoCellAnchor>
  <xdr:twoCellAnchor>
    <xdr:from>
      <xdr:col>17</xdr:col>
      <xdr:colOff>756303</xdr:colOff>
      <xdr:row>14</xdr:row>
      <xdr:rowOff>76200</xdr:rowOff>
    </xdr:from>
    <xdr:to>
      <xdr:col>19</xdr:col>
      <xdr:colOff>25401</xdr:colOff>
      <xdr:row>18</xdr:row>
      <xdr:rowOff>76200</xdr:rowOff>
    </xdr:to>
    <xdr:sp macro="" textlink="$V$14">
      <xdr:nvSpPr>
        <xdr:cNvPr id="2" name="Rectangle 1"/>
        <xdr:cNvSpPr/>
      </xdr:nvSpPr>
      <xdr:spPr>
        <a:xfrm>
          <a:off x="15780403" y="2705100"/>
          <a:ext cx="1580498" cy="736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D88AF82-E54D-4176-9DA0-C8489F8AC072}" type="TxLink">
            <a:rPr lang="en-US" sz="2000" b="0" i="0" u="none" strike="noStrike">
              <a:solidFill>
                <a:srgbClr val="000000"/>
              </a:solidFill>
              <a:latin typeface="Bell MT" panose="02020503060305020303" pitchFamily="18" charset="0"/>
              <a:ea typeface="Calibri"/>
              <a:cs typeface="Calibri"/>
            </a:rPr>
            <a:pPr algn="ctr"/>
            <a:t>109k</a:t>
          </a:fld>
          <a:endParaRPr lang="en-US" sz="4400">
            <a:latin typeface="Bell MT" panose="02020503060305020303" pitchFamily="18" charset="0"/>
          </a:endParaRPr>
        </a:p>
      </xdr:txBody>
    </xdr:sp>
    <xdr:clientData/>
  </xdr:twoCellAnchor>
  <xdr:twoCellAnchor>
    <xdr:from>
      <xdr:col>17</xdr:col>
      <xdr:colOff>1104900</xdr:colOff>
      <xdr:row>14</xdr:row>
      <xdr:rowOff>38100</xdr:rowOff>
    </xdr:from>
    <xdr:to>
      <xdr:col>18</xdr:col>
      <xdr:colOff>977900</xdr:colOff>
      <xdr:row>15</xdr:row>
      <xdr:rowOff>127000</xdr:rowOff>
    </xdr:to>
    <xdr:sp macro="" textlink="">
      <xdr:nvSpPr>
        <xdr:cNvPr id="4" name="Rectangle 3"/>
        <xdr:cNvSpPr/>
      </xdr:nvSpPr>
      <xdr:spPr>
        <a:xfrm>
          <a:off x="16129000" y="2667000"/>
          <a:ext cx="1028700" cy="27305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Total Amount</a:t>
          </a:r>
        </a:p>
      </xdr:txBody>
    </xdr:sp>
    <xdr:clientData/>
  </xdr:twoCellAnchor>
  <xdr:twoCellAnchor editAs="oneCell">
    <xdr:from>
      <xdr:col>21</xdr:col>
      <xdr:colOff>0</xdr:colOff>
      <xdr:row>8</xdr:row>
      <xdr:rowOff>0</xdr:rowOff>
    </xdr:from>
    <xdr:to>
      <xdr:col>22</xdr:col>
      <xdr:colOff>6350</xdr:colOff>
      <xdr:row>9</xdr:row>
      <xdr:rowOff>6350</xdr:rowOff>
    </xdr:to>
    <xdr:pic>
      <xdr:nvPicPr>
        <xdr:cNvPr id="7"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46900" y="1473200"/>
          <a:ext cx="10287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69850</xdr:colOff>
      <xdr:row>6</xdr:row>
      <xdr:rowOff>127000</xdr:rowOff>
    </xdr:from>
    <xdr:to>
      <xdr:col>5</xdr:col>
      <xdr:colOff>1028700</xdr:colOff>
      <xdr:row>9</xdr:row>
      <xdr:rowOff>76200</xdr:rowOff>
    </xdr:to>
    <xdr:sp macro="" textlink="">
      <xdr:nvSpPr>
        <xdr:cNvPr id="2" name="Right Arrow 1">
          <a:hlinkClick xmlns:r="http://schemas.openxmlformats.org/officeDocument/2006/relationships" r:id="rId1"/>
        </xdr:cNvPr>
        <xdr:cNvSpPr/>
      </xdr:nvSpPr>
      <xdr:spPr>
        <a:xfrm flipH="1">
          <a:off x="3810000" y="1231900"/>
          <a:ext cx="958850" cy="5016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Back</a:t>
          </a:r>
        </a:p>
      </xdr:txBody>
    </xdr:sp>
    <xdr:clientData/>
  </xdr:twoCellAnchor>
  <xdr:oneCellAnchor>
    <xdr:from>
      <xdr:col>5</xdr:col>
      <xdr:colOff>1800225</xdr:colOff>
      <xdr:row>8</xdr:row>
      <xdr:rowOff>161925</xdr:rowOff>
    </xdr:from>
    <xdr:ext cx="1470025" cy="288797"/>
    <mc:AlternateContent xmlns:mc="http://schemas.openxmlformats.org/markup-compatibility/2006" xmlns:a14="http://schemas.microsoft.com/office/drawing/2010/main">
      <mc:Choice Requires="a14">
        <xdr:sp macro="" textlink="">
          <xdr:nvSpPr>
            <xdr:cNvPr id="3" name="TextBox 2"/>
            <xdr:cNvSpPr txBox="1"/>
          </xdr:nvSpPr>
          <xdr:spPr>
            <a:xfrm>
              <a:off x="5540375" y="1635125"/>
              <a:ext cx="1470025" cy="288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i="1">
                            <a:latin typeface="Cambria Math" panose="02040503050406030204" pitchFamily="18" charset="0"/>
                          </a:rPr>
                          <m:t>𝑥</m:t>
                        </m:r>
                      </m:num>
                      <m:den>
                        <m:r>
                          <a:rPr lang="en-US" sz="1100" i="1">
                            <a:latin typeface="Cambria Math" panose="02040503050406030204" pitchFamily="18" charset="0"/>
                          </a:rPr>
                          <m:t>2</m:t>
                        </m:r>
                      </m:den>
                    </m:f>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i="1">
                            <a:latin typeface="Cambria Math" panose="02040503050406030204" pitchFamily="18" charset="0"/>
                          </a:rPr>
                          <m:t>𝑦</m:t>
                        </m:r>
                      </m:num>
                      <m:den>
                        <m:r>
                          <a:rPr lang="en-US" sz="1100" i="1">
                            <a:latin typeface="Cambria Math" panose="02040503050406030204" pitchFamily="18" charset="0"/>
                          </a:rPr>
                          <m:t>2</m:t>
                        </m:r>
                      </m:den>
                    </m:f>
                    <m:sSub>
                      <m:sSubPr>
                        <m:ctrlPr>
                          <a:rPr lang="en-US" sz="1100" i="1">
                            <a:latin typeface="Cambria Math" panose="02040503050406030204" pitchFamily="18" charset="0"/>
                          </a:rPr>
                        </m:ctrlPr>
                      </m:sSubPr>
                      <m:e>
                        <m:r>
                          <a:rPr lang="en-US" sz="1100" i="1">
                            <a:latin typeface="Cambria Math" panose="02040503050406030204" pitchFamily="18" charset="0"/>
                          </a:rPr>
                          <m:t>𝑥</m:t>
                        </m:r>
                      </m:e>
                      <m:sub>
                        <m:r>
                          <a:rPr lang="en-US" sz="1100" i="1">
                            <a:latin typeface="Cambria Math" panose="02040503050406030204" pitchFamily="18" charset="0"/>
                          </a:rPr>
                          <m:t>𝑎</m:t>
                        </m:r>
                      </m:sub>
                    </m:sSub>
                  </m:oMath>
                </m:oMathPara>
              </a14:m>
              <a:endParaRPr lang="en-US" sz="1100"/>
            </a:p>
          </xdr:txBody>
        </xdr:sp>
      </mc:Choice>
      <mc:Fallback xmlns="">
        <xdr:sp macro="" textlink="">
          <xdr:nvSpPr>
            <xdr:cNvPr id="3" name="TextBox 2"/>
            <xdr:cNvSpPr txBox="1"/>
          </xdr:nvSpPr>
          <xdr:spPr>
            <a:xfrm>
              <a:off x="5540375" y="1635125"/>
              <a:ext cx="1470025" cy="288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i="0">
                  <a:latin typeface="Cambria Math" panose="02040503050406030204" pitchFamily="18" charset="0"/>
                </a:rPr>
                <a:t>𝑥/2=𝑦/2 𝑥_𝑎</a:t>
              </a:r>
              <a:endParaRPr 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3</xdr:col>
      <xdr:colOff>146050</xdr:colOff>
      <xdr:row>0</xdr:row>
      <xdr:rowOff>88899</xdr:rowOff>
    </xdr:from>
    <xdr:to>
      <xdr:col>10</xdr:col>
      <xdr:colOff>266700</xdr:colOff>
      <xdr:row>12</xdr:row>
      <xdr:rowOff>104774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6350</xdr:colOff>
      <xdr:row>1</xdr:row>
      <xdr:rowOff>31750</xdr:rowOff>
    </xdr:from>
    <xdr:to>
      <xdr:col>14</xdr:col>
      <xdr:colOff>367648</xdr:colOff>
      <xdr:row>5</xdr:row>
      <xdr:rowOff>31750</xdr:rowOff>
    </xdr:to>
    <xdr:sp macro="" textlink="B16">
      <xdr:nvSpPr>
        <xdr:cNvPr id="4" name="Rectangle 3"/>
        <xdr:cNvSpPr/>
      </xdr:nvSpPr>
      <xdr:spPr>
        <a:xfrm>
          <a:off x="8394700" y="215900"/>
          <a:ext cx="1580498" cy="7366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4F15DC-052D-489D-9C11-DBF925EB7D17}" type="TxLink">
            <a:rPr lang="en-US" sz="1100" b="0" i="0" u="none" strike="noStrike">
              <a:solidFill>
                <a:srgbClr val="000000"/>
              </a:solidFill>
              <a:latin typeface="Calibri"/>
              <a:ea typeface="Calibri"/>
              <a:cs typeface="Calibri"/>
            </a:rPr>
            <a:pPr algn="ctr"/>
            <a:t>108500</a:t>
          </a:fld>
          <a:endParaRPr lang="en-US"/>
        </a:p>
      </xdr:txBody>
    </xdr:sp>
    <xdr:clientData/>
  </xdr:twoCellAnchor>
  <xdr:twoCellAnchor>
    <xdr:from>
      <xdr:col>2</xdr:col>
      <xdr:colOff>917575</xdr:colOff>
      <xdr:row>3</xdr:row>
      <xdr:rowOff>168275</xdr:rowOff>
    </xdr:from>
    <xdr:to>
      <xdr:col>10</xdr:col>
      <xdr:colOff>111125</xdr:colOff>
      <xdr:row>18</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355600</xdr:colOff>
      <xdr:row>5</xdr:row>
      <xdr:rowOff>6351</xdr:rowOff>
    </xdr:from>
    <xdr:to>
      <xdr:col>18</xdr:col>
      <xdr:colOff>355600</xdr:colOff>
      <xdr:row>12</xdr:row>
      <xdr:rowOff>158751</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72750" y="927101"/>
              <a:ext cx="1828800" cy="1441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444500</xdr:colOff>
      <xdr:row>10</xdr:row>
      <xdr:rowOff>38100</xdr:rowOff>
    </xdr:from>
    <xdr:to>
      <xdr:col>14</xdr:col>
      <xdr:colOff>330200</xdr:colOff>
      <xdr:row>16</xdr:row>
      <xdr:rowOff>95250</xdr:rowOff>
    </xdr:to>
    <mc:AlternateContent xmlns:mc="http://schemas.openxmlformats.org/markup-compatibility/2006" xmlns:tsle="http://schemas.microsoft.com/office/drawing/2012/timeslicer">
      <mc:Choice Requires="tsle">
        <xdr:graphicFrame macro="">
          <xdr:nvGraphicFramePr>
            <xdr:cNvPr id="6"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223250" y="1879600"/>
              <a:ext cx="1714500" cy="116205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231775</xdr:colOff>
      <xdr:row>0</xdr:row>
      <xdr:rowOff>66675</xdr:rowOff>
    </xdr:from>
    <xdr:to>
      <xdr:col>11</xdr:col>
      <xdr:colOff>536575</xdr:colOff>
      <xdr:row>15</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52.791298032411" createdVersion="6" refreshedVersion="6" minRefreshableVersion="3" recordCount="10">
  <cacheSource type="worksheet">
    <worksheetSource name="Table1_3"/>
  </cacheSource>
  <cacheFields count="23">
    <cacheField name="Order_ID" numFmtId="0">
      <sharedItems containsSemiMixedTypes="0" containsString="0" containsNumber="1" containsInteger="1" minValue="1001" maxValue="1010"/>
    </cacheField>
    <cacheField name="Order_Date" numFmtId="164">
      <sharedItems containsSemiMixedTypes="0" containsNonDate="0" containsDate="1" containsString="0" minDate="2024-01-12T00:00:00" maxDate="2024-02-01T00:00:00" count="10">
        <d v="2024-01-12T00:00:00"/>
        <d v="2024-01-15T00:00:00"/>
        <d v="2024-01-16T00:00:00"/>
        <d v="2024-01-18T00:00:00"/>
        <d v="2024-01-20T00:00:00"/>
        <d v="2024-01-21T00:00:00"/>
        <d v="2024-01-25T00:00:00"/>
        <d v="2024-01-26T00:00:00"/>
        <d v="2024-01-29T00:00:00"/>
        <d v="2024-01-31T00:00:00"/>
      </sharedItems>
    </cacheField>
    <cacheField name="Month" numFmtId="164">
      <sharedItems count="1">
        <s v="Jan"/>
      </sharedItems>
    </cacheField>
    <cacheField name="Year" numFmtId="164">
      <sharedItems count="1">
        <s v="2024"/>
      </sharedItems>
    </cacheField>
    <cacheField name="Customer_Name" numFmtId="0">
      <sharedItems/>
    </cacheField>
    <cacheField name="Email" numFmtId="0">
      <sharedItems/>
    </cacheField>
    <cacheField name="Region" numFmtId="0">
      <sharedItems count="3">
        <s v="West"/>
        <s v="North"/>
        <s v="South"/>
      </sharedItems>
    </cacheField>
    <cacheField name="City" numFmtId="0">
      <sharedItems count="5">
        <s v="Mumbai"/>
        <s v="Delhi"/>
        <s v="Pune"/>
        <s v="Bangalore"/>
        <s v="Chennai"/>
      </sharedItems>
    </cacheField>
    <cacheField name="order by city" numFmtId="0">
      <sharedItems containsSemiMixedTypes="0" containsString="0" containsNumber="1" containsInteger="1" minValue="1" maxValue="3"/>
    </cacheField>
    <cacheField name="Product_ID" numFmtId="0">
      <sharedItems/>
    </cacheField>
    <cacheField name="Quantity" numFmtId="1">
      <sharedItems containsSemiMixedTypes="0" containsString="0" containsNumber="1" containsInteger="1" minValue="1" maxValue="5"/>
    </cacheField>
    <cacheField name="Sales_Rep" numFmtId="0">
      <sharedItems/>
    </cacheField>
    <cacheField name="Category" numFmtId="0">
      <sharedItems count="4">
        <s v="Electronics"/>
        <s v="Furniture"/>
        <s v="Accessories"/>
        <s v="Kitchen"/>
      </sharedItems>
    </cacheField>
    <cacheField name="Status" numFmtId="0">
      <sharedItems/>
    </cacheField>
    <cacheField name="Discount" numFmtId="9">
      <sharedItems containsSemiMixedTypes="0" containsString="0" containsNumber="1" minValue="0" maxValue="0.1"/>
    </cacheField>
    <cacheField name="Payment_Mode" numFmtId="0">
      <sharedItems/>
    </cacheField>
    <cacheField name="High-Value Orders" numFmtId="0">
      <sharedItems/>
    </cacheField>
    <cacheField name="Final Amount" numFmtId="165">
      <sharedItems containsSemiMixedTypes="0" containsString="0" containsNumber="1" minValue="1499.93" maxValue="8000"/>
    </cacheField>
    <cacheField name="Unit Price" numFmtId="0">
      <sharedItems containsSemiMixedTypes="0" containsString="0" containsNumber="1" containsInteger="1" minValue="1500" maxValue="8000"/>
    </cacheField>
    <cacheField name="Average amount by category" numFmtId="1">
      <sharedItems containsSemiMixedTypes="0" containsString="0" containsNumber="1" minValue="3000" maxValue="23333.333333333332"/>
    </cacheField>
    <cacheField name="Total Revenu by city" numFmtId="1">
      <sharedItems containsSemiMixedTypes="0" containsString="0" containsNumber="1" containsInteger="1" minValue="5000" maxValue="43000"/>
    </cacheField>
    <cacheField name="Total Amount" numFmtId="0">
      <sharedItems containsSemiMixedTypes="0" containsString="0" containsNumber="1" containsInteger="1" minValue="3000" maxValue="40000"/>
    </cacheField>
    <cacheField name="order label"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01"/>
    <x v="0"/>
    <x v="0"/>
    <x v="0"/>
    <s v="Neha Bajaj"/>
    <s v="neha@abc.com"/>
    <x v="0"/>
    <x v="0"/>
    <n v="2"/>
    <s v="P101"/>
    <n v="3"/>
    <s v="Rahul Mehta"/>
    <x v="0"/>
    <s v="Delivered"/>
    <n v="0.1"/>
    <s v="Online"/>
    <s v="Normal"/>
    <n v="2499.9"/>
    <n v="2500"/>
    <n v="5833.333333333333"/>
    <n v="19500"/>
    <n v="7500"/>
    <s v="1001-Neha Bajaj-P101"/>
  </r>
  <r>
    <n v="1002"/>
    <x v="1"/>
    <x v="0"/>
    <x v="0"/>
    <s v="Arjun Verma"/>
    <s v="arjun@xyz.com"/>
    <x v="1"/>
    <x v="1"/>
    <n v="3"/>
    <s v="P102"/>
    <n v="2"/>
    <s v="Priya Shah"/>
    <x v="1"/>
    <s v="Returned"/>
    <n v="0.08"/>
    <s v="Cash"/>
    <s v="High Value"/>
    <n v="5999.92"/>
    <n v="6000"/>
    <n v="23333.333333333332"/>
    <n v="20000"/>
    <n v="12000"/>
    <s v="1002-Arjun Verma-P102"/>
  </r>
  <r>
    <n v="1003"/>
    <x v="2"/>
    <x v="0"/>
    <x v="0"/>
    <s v="Sneha Rao"/>
    <s v="sneha@abc.com"/>
    <x v="0"/>
    <x v="2"/>
    <n v="2"/>
    <s v="P105"/>
    <n v="2"/>
    <s v="Rahul Mehta"/>
    <x v="2"/>
    <s v="Delivered"/>
    <n v="7.0000000000000007E-2"/>
    <s v="Online"/>
    <s v="Normal"/>
    <n v="1499.93"/>
    <n v="1500"/>
    <n v="3000"/>
    <n v="21000"/>
    <n v="3000"/>
    <s v="1003-Sneha Rao-P105"/>
  </r>
  <r>
    <n v="1004"/>
    <x v="3"/>
    <x v="0"/>
    <x v="0"/>
    <s v="Ramesh Gupta"/>
    <s v="ramesh@abc.com"/>
    <x v="2"/>
    <x v="1"/>
    <n v="2"/>
    <s v="P103"/>
    <n v="1"/>
    <s v="Aman Jain"/>
    <x v="3"/>
    <s v="Delivered"/>
    <n v="0.05"/>
    <s v="Card"/>
    <s v="Normal"/>
    <n v="2999.95"/>
    <n v="3000"/>
    <n v="7500"/>
    <n v="20000"/>
    <n v="3000"/>
    <s v="1004-Ramesh Gupta-P103"/>
  </r>
  <r>
    <n v="1005"/>
    <x v="4"/>
    <x v="0"/>
    <x v="0"/>
    <s v="Simran Kaur"/>
    <s v="simran@xyz.com"/>
    <x v="1"/>
    <x v="1"/>
    <n v="1"/>
    <s v="P101"/>
    <n v="2"/>
    <s v="Priya Shah"/>
    <x v="0"/>
    <s v="Delivered"/>
    <n v="0.1"/>
    <s v="Cash"/>
    <s v="Normal"/>
    <n v="2499.9"/>
    <n v="2500"/>
    <n v="5833.333333333333"/>
    <n v="20000"/>
    <n v="5000"/>
    <s v="1005-Simran Kaur-P101"/>
  </r>
  <r>
    <n v="1006"/>
    <x v="5"/>
    <x v="0"/>
    <x v="0"/>
    <s v="Rahul Jain"/>
    <s v="rahul@abc.com"/>
    <x v="2"/>
    <x v="3"/>
    <n v="2"/>
    <s v="P104"/>
    <n v="5"/>
    <s v="Deepak Sharma"/>
    <x v="1"/>
    <s v="Pending"/>
    <n v="0"/>
    <s v="Online"/>
    <s v="High Value"/>
    <n v="8000"/>
    <n v="8000"/>
    <n v="23333.333333333332"/>
    <n v="43000"/>
    <n v="40000"/>
    <s v="1006-Rahul Jain-P104"/>
  </r>
  <r>
    <n v="1007"/>
    <x v="6"/>
    <x v="0"/>
    <x v="0"/>
    <s v="Anjali Singh"/>
    <s v="anjali@xyz.com"/>
    <x v="0"/>
    <x v="2"/>
    <n v="1"/>
    <s v="P102"/>
    <n v="3"/>
    <s v="Rahul Mehta"/>
    <x v="1"/>
    <s v="Delivered"/>
    <n v="0.08"/>
    <s v="Online"/>
    <s v="High Value"/>
    <n v="5999.92"/>
    <n v="6000"/>
    <n v="23333.333333333332"/>
    <n v="21000"/>
    <n v="18000"/>
    <s v="1007-Anjali Singh-P102"/>
  </r>
  <r>
    <n v="1008"/>
    <x v="7"/>
    <x v="0"/>
    <x v="0"/>
    <s v="Karan Patel"/>
    <s v="karan@abc.com"/>
    <x v="0"/>
    <x v="0"/>
    <n v="1"/>
    <s v="P103"/>
    <n v="4"/>
    <s v="Aman Jain"/>
    <x v="3"/>
    <s v="Delivered"/>
    <n v="0.05"/>
    <s v="Cash"/>
    <s v="High Value"/>
    <n v="2999.95"/>
    <n v="3000"/>
    <n v="7500"/>
    <n v="19500"/>
    <n v="12000"/>
    <s v="1008-Karan Patel-P103"/>
  </r>
  <r>
    <n v="1009"/>
    <x v="8"/>
    <x v="0"/>
    <x v="0"/>
    <s v="Manish Joshi"/>
    <s v="manish@abc.com"/>
    <x v="2"/>
    <x v="3"/>
    <n v="1"/>
    <s v="P105"/>
    <n v="2"/>
    <s v="Deepak Sharma"/>
    <x v="2"/>
    <s v="Returned"/>
    <n v="7.0000000000000007E-2"/>
    <s v="Card"/>
    <s v="Normal"/>
    <n v="1499.93"/>
    <n v="1500"/>
    <n v="3000"/>
    <n v="43000"/>
    <n v="3000"/>
    <s v="1009-Manish Joshi-P105"/>
  </r>
  <r>
    <n v="1010"/>
    <x v="9"/>
    <x v="0"/>
    <x v="0"/>
    <s v="Kavita Bansal"/>
    <s v="kavita@abc.com"/>
    <x v="2"/>
    <x v="4"/>
    <n v="1"/>
    <s v="P101"/>
    <n v="2"/>
    <s v="Aman Jain"/>
    <x v="0"/>
    <s v="Delivered"/>
    <n v="0.1"/>
    <s v="Online"/>
    <s v="Normal"/>
    <n v="2499.9"/>
    <n v="2500"/>
    <n v="5833.333333333333"/>
    <n v="5000"/>
    <n v="5000"/>
    <s v="1010-Kavita Bansal-P1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9" firstHeaderRow="0" firstDataRow="1" firstDataCol="1"/>
  <pivotFields count="23">
    <pivotField dataField="1" showAll="0"/>
    <pivotField numFmtId="164" showAll="0"/>
    <pivotField showAll="0">
      <items count="2">
        <item x="0"/>
        <item t="default"/>
      </items>
    </pivotField>
    <pivotField showAll="0">
      <items count="2">
        <item x="0"/>
        <item t="default"/>
      </items>
    </pivotField>
    <pivotField showAll="0"/>
    <pivotField showAll="0"/>
    <pivotField showAll="0">
      <items count="4">
        <item x="1"/>
        <item x="2"/>
        <item x="0"/>
        <item t="default"/>
      </items>
    </pivotField>
    <pivotField axis="axisRow" showAll="0" nonAutoSortDefault="1">
      <items count="6">
        <item x="4"/>
        <item x="0"/>
        <item x="1"/>
        <item x="2"/>
        <item x="3"/>
        <item t="default"/>
      </items>
    </pivotField>
    <pivotField showAll="0"/>
    <pivotField showAll="0"/>
    <pivotField numFmtId="1" showAll="0"/>
    <pivotField showAll="0"/>
    <pivotField showAll="0"/>
    <pivotField showAll="0"/>
    <pivotField numFmtId="9" showAll="0"/>
    <pivotField showAll="0"/>
    <pivotField showAll="0"/>
    <pivotField numFmtId="165" showAll="0"/>
    <pivotField showAll="0"/>
    <pivotField numFmtId="1" showAll="0"/>
    <pivotField numFmtId="1" showAll="0"/>
    <pivotField dataField="1" showAll="0"/>
    <pivotField showAll="0"/>
  </pivotFields>
  <rowFields count="1">
    <field x="7"/>
  </rowFields>
  <rowItems count="6">
    <i>
      <x/>
    </i>
    <i>
      <x v="1"/>
    </i>
    <i>
      <x v="2"/>
    </i>
    <i>
      <x v="3"/>
    </i>
    <i>
      <x v="4"/>
    </i>
    <i t="grand">
      <x/>
    </i>
  </rowItems>
  <colFields count="1">
    <field x="-2"/>
  </colFields>
  <colItems count="2">
    <i>
      <x/>
    </i>
    <i i="1">
      <x v="1"/>
    </i>
  </colItems>
  <dataFields count="2">
    <dataField name="Sum of Order_ID" fld="0" baseField="0" baseItem="0"/>
    <dataField name="Sum of Total Amount" fld="21" baseField="0" baseItem="0"/>
  </dataFields>
  <chartFormats count="6">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1"/>
          </reference>
          <reference field="7" count="1" selected="0">
            <x v="4"/>
          </reference>
        </references>
      </pivotArea>
    </chartFormat>
    <chartFormat chart="0" format="5">
      <pivotArea type="data" outline="0" fieldPosition="0">
        <references count="2">
          <reference field="4294967294" count="1" selected="0">
            <x v="1"/>
          </reference>
          <reference field="7" count="1" selected="0">
            <x v="3"/>
          </reference>
        </references>
      </pivotArea>
    </chartFormat>
    <chartFormat chart="0" format="6">
      <pivotArea type="data" outline="0" fieldPosition="0">
        <references count="2">
          <reference field="4294967294" count="1" selected="0">
            <x v="1"/>
          </reference>
          <reference field="7" count="1" selected="0">
            <x v="2"/>
          </reference>
        </references>
      </pivotArea>
    </chartFormat>
    <chartFormat chart="0" format="7">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5" showDrill="0" useAutoFormatting="1" itemPrintTitles="1" createdVersion="6" indent="0" outline="1" outlineData="1" multipleFieldFilters="0" chartFormat="3">
  <location ref="A3:B16" firstHeaderRow="1" firstDataRow="1" firstDataCol="1"/>
  <pivotFields count="23">
    <pivotField showAll="0"/>
    <pivotField numFmtId="164" showAll="0">
      <items count="11">
        <item x="0"/>
        <item x="1"/>
        <item x="2"/>
        <item x="3"/>
        <item x="4"/>
        <item x="5"/>
        <item x="6"/>
        <item x="7"/>
        <item x="8"/>
        <item x="9"/>
        <item t="default"/>
      </items>
    </pivotField>
    <pivotField axis="axisRow" showAll="0">
      <items count="2">
        <item x="0"/>
        <item t="default"/>
      </items>
    </pivotField>
    <pivotField axis="axisRow" showAll="0">
      <items count="2">
        <item x="0"/>
        <item t="default"/>
      </items>
    </pivotField>
    <pivotField showAll="0"/>
    <pivotField showAll="0"/>
    <pivotField showAll="0"/>
    <pivotField showAll="0"/>
    <pivotField showAll="0"/>
    <pivotField showAll="0"/>
    <pivotField numFmtId="1" showAll="0"/>
    <pivotField showAll="0"/>
    <pivotField axis="axisRow" showAll="0">
      <items count="5">
        <item x="2"/>
        <item x="0"/>
        <item x="1"/>
        <item x="3"/>
        <item t="default"/>
      </items>
    </pivotField>
    <pivotField showAll="0"/>
    <pivotField numFmtId="9" showAll="0"/>
    <pivotField showAll="0"/>
    <pivotField showAll="0"/>
    <pivotField numFmtId="165" showAll="0"/>
    <pivotField showAll="0"/>
    <pivotField numFmtId="1" showAll="0"/>
    <pivotField numFmtId="1" showAll="0"/>
    <pivotField dataField="1" showAll="0"/>
    <pivotField showAll="0"/>
  </pivotFields>
  <rowFields count="3">
    <field x="12"/>
    <field x="2"/>
    <field x="3"/>
  </rowFields>
  <rowItems count="13">
    <i>
      <x/>
    </i>
    <i r="1">
      <x/>
    </i>
    <i r="2">
      <x/>
    </i>
    <i>
      <x v="1"/>
    </i>
    <i r="1">
      <x/>
    </i>
    <i r="2">
      <x/>
    </i>
    <i>
      <x v="2"/>
    </i>
    <i r="1">
      <x/>
    </i>
    <i r="2">
      <x/>
    </i>
    <i>
      <x v="3"/>
    </i>
    <i r="1">
      <x/>
    </i>
    <i r="2">
      <x/>
    </i>
    <i t="grand">
      <x/>
    </i>
  </rowItems>
  <colItems count="1">
    <i/>
  </colItems>
  <dataFields count="1">
    <dataField name="Total Amounts" fld="21" baseField="12" baseItem="0"/>
  </dataFields>
  <chartFormats count="2">
    <chartFormat chart="1" format="5"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 name="Order_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5" firstHeaderRow="1" firstDataRow="1" firstDataCol="1"/>
  <pivotFields count="23">
    <pivotField dataField="1" showAll="0"/>
    <pivotField numFmtId="164" showAll="0"/>
    <pivotField showAll="0"/>
    <pivotField showAll="0"/>
    <pivotField showAll="0"/>
    <pivotField showAll="0"/>
    <pivotField axis="axisRow" showAll="0">
      <items count="4">
        <item x="1"/>
        <item x="2"/>
        <item x="0"/>
        <item t="default"/>
      </items>
    </pivotField>
    <pivotField showAll="0"/>
    <pivotField showAll="0"/>
    <pivotField showAll="0"/>
    <pivotField numFmtId="1" showAll="0"/>
    <pivotField showAll="0"/>
    <pivotField showAll="0"/>
    <pivotField showAll="0"/>
    <pivotField numFmtId="9" showAll="0"/>
    <pivotField showAll="0"/>
    <pivotField showAll="0"/>
    <pivotField numFmtId="165" showAll="0"/>
    <pivotField showAll="0"/>
    <pivotField numFmtId="1" showAll="0"/>
    <pivotField numFmtId="1" showAll="0"/>
    <pivotField showAll="0"/>
    <pivotField showAll="0"/>
  </pivotFields>
  <rowFields count="1">
    <field x="6"/>
  </rowFields>
  <rowItems count="4">
    <i>
      <x/>
    </i>
    <i>
      <x v="1"/>
    </i>
    <i>
      <x v="2"/>
    </i>
    <i t="grand">
      <x/>
    </i>
  </rowItems>
  <colItems count="1">
    <i/>
  </colItems>
  <dataFields count="1">
    <dataField name="Sum of Order_ID" fld="0" baseField="6"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4" unboundColumnsRight="7">
    <queryTableFields count="23">
      <queryTableField id="1" name="Order_ID" tableColumnId="25"/>
      <queryTableField id="2" name="Order_Date" tableColumnId="26"/>
      <queryTableField id="13" dataBound="0" tableColumnId="38"/>
      <queryTableField id="14" dataBound="0" tableColumnId="39"/>
      <queryTableField id="3" name="Customer_Name" tableColumnId="27"/>
      <queryTableField id="4" name="Email" tableColumnId="28"/>
      <queryTableField id="5" name="Region" tableColumnId="29"/>
      <queryTableField id="6" name="City" tableColumnId="30"/>
      <queryTableField id="20" dataBound="0" tableColumnId="45"/>
      <queryTableField id="7" name="Product_ID" tableColumnId="31"/>
      <queryTableField id="8" name="Quantity" tableColumnId="32"/>
      <queryTableField id="9" name="Sales_Rep" tableColumnId="33"/>
      <queryTableField id="21" dataBound="0" tableColumnId="46"/>
      <queryTableField id="10" name="Status" tableColumnId="34"/>
      <queryTableField id="11" name="Discount" tableColumnId="35"/>
      <queryTableField id="12" name="Payment_Mode" tableColumnId="36"/>
      <queryTableField id="17" dataBound="0" tableColumnId="42"/>
      <queryTableField id="18" dataBound="0" tableColumnId="43"/>
      <queryTableField id="16" dataBound="0" tableColumnId="41"/>
      <queryTableField id="22" dataBound="0" tableColumnId="47"/>
      <queryTableField id="23" dataBound="0" tableColumnId="48"/>
      <queryTableField id="15" dataBound="0" tableColumnId="40"/>
      <queryTableField id="19" dataBound="0"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1"/>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L11" totalsRowShown="0" headerRowDxfId="55" headerRowBorderDxfId="54" tableBorderDxfId="53">
  <autoFilter ref="A1:L11"/>
  <tableColumns count="12">
    <tableColumn id="1" name="Order_ID"/>
    <tableColumn id="2" name="Order_Date"/>
    <tableColumn id="3" name="Customer_Name"/>
    <tableColumn id="4" name="Email"/>
    <tableColumn id="5" name="City"/>
    <tableColumn id="6" name="Region"/>
    <tableColumn id="7" name="Product_ID"/>
    <tableColumn id="8" name="Quantity"/>
    <tableColumn id="9" name="Sales_Rep"/>
    <tableColumn id="10" name="Status"/>
    <tableColumn id="11" name="Discount"/>
    <tableColumn id="12" name="Payment_Mode"/>
  </tableColumns>
  <tableStyleInfo name="TableStyleMedium9" showFirstColumn="0" showLastColumn="0" showRowStripes="1" showColumnStripes="0"/>
</table>
</file>

<file path=xl/tables/table2.xml><?xml version="1.0" encoding="utf-8"?>
<table xmlns="http://schemas.openxmlformats.org/spreadsheetml/2006/main" id="3" name="Table1_3" displayName="Table1_3" ref="A1:W12" tableType="queryTable" totalsRowCount="1">
  <autoFilter ref="A1:W11"/>
  <tableColumns count="23">
    <tableColumn id="25" uniqueName="25" name="Order_ID" queryTableFieldId="1" dataDxfId="49" totalsRowDxfId="48"/>
    <tableColumn id="26" uniqueName="26" name="Order_Date" queryTableFieldId="2" dataDxfId="47" totalsRowDxfId="46"/>
    <tableColumn id="38" uniqueName="38" name="Month" queryTableFieldId="13" dataDxfId="45" totalsRowDxfId="44">
      <calculatedColumnFormula>TEXT(Table1_3[[#This Row],[Order_Date]],"mmm")</calculatedColumnFormula>
    </tableColumn>
    <tableColumn id="39" uniqueName="39" name="Year" queryTableFieldId="14" dataDxfId="43" totalsRowDxfId="42">
      <calculatedColumnFormula>TEXT(Table1_3[[#This Row],[Order_Date]],"yyyy")</calculatedColumnFormula>
    </tableColumn>
    <tableColumn id="27" uniqueName="27" name="Customer_Name" queryTableFieldId="3" dataDxfId="41" totalsRowDxfId="40"/>
    <tableColumn id="28" uniqueName="28" name="Email" queryTableFieldId="4" dataDxfId="39" totalsRowDxfId="38"/>
    <tableColumn id="29" uniqueName="29" name="Region" queryTableFieldId="5" dataDxfId="37" totalsRowDxfId="36"/>
    <tableColumn id="30" uniqueName="30" name="City" queryTableFieldId="6" dataDxfId="35" totalsRowDxfId="34"/>
    <tableColumn id="45" uniqueName="45" name="order by city" queryTableFieldId="20" dataDxfId="33" totalsRowDxfId="32">
      <calculatedColumnFormula>COUNTIF(H2:H11,H2)</calculatedColumnFormula>
    </tableColumn>
    <tableColumn id="31" uniqueName="31" name="Product_ID" queryTableFieldId="7" dataDxfId="31" totalsRowDxfId="30"/>
    <tableColumn id="32" uniqueName="32" name="Quantity" queryTableFieldId="8" dataDxfId="29" totalsRowDxfId="28"/>
    <tableColumn id="33" uniqueName="33" name="Sales_Representative" queryTableFieldId="9" dataDxfId="27" totalsRowDxfId="26"/>
    <tableColumn id="46" uniqueName="46" name="Category" queryTableFieldId="21" dataDxfId="25" totalsRowDxfId="24">
      <calculatedColumnFormula>VLOOKUP(J2:$J$11,Category_discount!$A$1:$C$5,2,0)</calculatedColumnFormula>
    </tableColumn>
    <tableColumn id="34" uniqueName="34" name="Status" queryTableFieldId="10" dataDxfId="23" totalsRowDxfId="22"/>
    <tableColumn id="35" uniqueName="35" name="Discount" queryTableFieldId="11" totalsRowDxfId="21" dataCellStyle="Percent"/>
    <tableColumn id="36" uniqueName="36" name="Payment_Mode" queryTableFieldId="12" dataDxfId="20" totalsRowDxfId="19"/>
    <tableColumn id="42" uniqueName="42" name="High-Value Orders" queryTableFieldId="17" dataDxfId="18" totalsRowDxfId="17">
      <calculatedColumnFormula>IF(Table1_3[[#This Row],[Total Amount]]&gt;10000,"High Value","Normal")</calculatedColumnFormula>
    </tableColumn>
    <tableColumn id="43" uniqueName="43" name="Final Amount" totalsRowFunction="custom" queryTableFieldId="18" dataDxfId="16" totalsRowDxfId="15" dataCellStyle="Comma">
      <calculatedColumnFormula>Table1_3[[#This Row],[Unit Price]]-Table1_3[[#This Row],[Discount]]</calculatedColumnFormula>
      <totalsRowFormula>SUM(R2:R11)</totalsRowFormula>
    </tableColumn>
    <tableColumn id="41" uniqueName="41" name="Unit Price" totalsRowFunction="custom" queryTableFieldId="16" dataDxfId="14" totalsRowDxfId="13">
      <calculatedColumnFormula>VLOOKUP($J$2:$J$11,Product_Master!$A$1:$D$6,4,0)</calculatedColumnFormula>
      <totalsRowFormula>SUM(S2:S11)</totalsRowFormula>
    </tableColumn>
    <tableColumn id="47" uniqueName="47" name="Average amount by category" totalsRowFunction="custom" queryTableFieldId="22" dataDxfId="12" totalsRowDxfId="11" dataCellStyle="Comma">
      <calculatedColumnFormula>AVERAGEIF(Table1_3[Category],Table1_3[[#This Row],[Category]],Table1_3[Total Amount])</calculatedColumnFormula>
      <totalsRowFormula>SUM(T2:T11)</totalsRowFormula>
    </tableColumn>
    <tableColumn id="48" uniqueName="48" name="Total Revenu by city" totalsRowFunction="custom" queryTableFieldId="23" dataDxfId="10" totalsRowDxfId="9" dataCellStyle="Comma">
      <calculatedColumnFormula>SUMIF($H$2:$H$11,Table1_3[[#This Row],[City]],Table1_3[Total Amount])</calculatedColumnFormula>
      <totalsRowFormula>SUM(U2:U11)</totalsRowFormula>
    </tableColumn>
    <tableColumn id="40" uniqueName="40" name="Total Amount" totalsRowFunction="sum" queryTableFieldId="15" dataDxfId="8">
      <calculatedColumnFormula>(Table1_3[[#This Row],[Quantity]]*Table1_3[[#This Row],[Unit Price]])</calculatedColumnFormula>
    </tableColumn>
    <tableColumn id="44" uniqueName="44" name="order label" queryTableFieldId="19" dataDxfId="7" totalsRowDxfId="6">
      <calculatedColumnFormula>CONCATENATE(Table1_3[[#This Row],[Order_ID]],"-",Table1_3[[#This Row],[Customer_Name]],"-",Table1_3[[#This Row],[Product_ID]])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id="8" name="Table8" displayName="Table8" ref="A1:D6" totalsRowShown="0" headerRowDxfId="5" headerRowBorderDxfId="4" tableBorderDxfId="3">
  <autoFilter ref="A1:D6"/>
  <tableColumns count="4">
    <tableColumn id="1" name="Product_ID"/>
    <tableColumn id="2" name="Product_Name"/>
    <tableColumn id="3" name="Category"/>
    <tableColumn id="4" name="Unit_Price"/>
  </tableColumns>
  <tableStyleInfo name="TableStyleMedium9" showFirstColumn="0" showLastColumn="0" showRowStripes="1" showColumnStripes="0"/>
</table>
</file>

<file path=xl/tables/table4.xml><?xml version="1.0" encoding="utf-8"?>
<table xmlns="http://schemas.openxmlformats.org/spreadsheetml/2006/main" id="9" name="Table9" displayName="Table9" ref="A1:C5" totalsRowShown="0">
  <autoFilter ref="A1:C5"/>
  <tableColumns count="3">
    <tableColumn id="1" name="Product_id">
      <calculatedColumnFormula>INDEX(Product_Master!A2:A6,MATCH(Category_discount!B2,Product_Master!C2:C6,0))</calculatedColumnFormula>
    </tableColumn>
    <tableColumn id="2" name="Category"/>
    <tableColumn id="3" name="Standard_Discount"/>
  </tableColumns>
  <tableStyleInfo name="TableStyleMedium9" showFirstColumn="0" showLastColumn="0" showRowStripes="1" showColumnStripes="0"/>
</table>
</file>

<file path=xl/tables/table5.xml><?xml version="1.0" encoding="utf-8"?>
<table xmlns="http://schemas.openxmlformats.org/spreadsheetml/2006/main" id="6" name="Table6" displayName="Table6" ref="A1:A24" totalsRowShown="0" headerRowDxfId="2" dataDxfId="1">
  <autoFilter ref="A1:A24"/>
  <tableColumns count="1">
    <tableColumn id="1" name="Column1"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_Date">
  <pivotTables>
    <pivotTable tabId="7" name="PivotTable1"/>
  </pivotTables>
  <state minimalRefreshVersion="6" lastRefreshVersion="6" pivotCacheId="1" filterType="dateBetween">
    <selection startDate="2024-01-01T00:00:00" endDate="2024-03-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NativeTimeline_Order_Date" caption="Order_Date" level="1" selectionLevel="1"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selection activeCell="B2" sqref="B2"/>
    </sheetView>
  </sheetViews>
  <sheetFormatPr defaultRowHeight="14.5" x14ac:dyDescent="0.35"/>
  <cols>
    <col min="1" max="1" width="10.54296875" customWidth="1"/>
    <col min="2" max="2" width="12.7265625" customWidth="1"/>
    <col min="3" max="3" width="16.90625" customWidth="1"/>
    <col min="4" max="4" width="16.81640625" bestFit="1" customWidth="1"/>
    <col min="5" max="5" width="9.81640625" bestFit="1" customWidth="1"/>
    <col min="6" max="6" width="8.453125" customWidth="1"/>
    <col min="7" max="7" width="12.26953125" customWidth="1"/>
    <col min="8" max="8" width="10.1796875" customWidth="1"/>
    <col min="9" max="9" width="14.81640625" bestFit="1" customWidth="1"/>
    <col min="10" max="10" width="9.7265625" bestFit="1" customWidth="1"/>
    <col min="11" max="11" width="10.1796875" customWidth="1"/>
    <col min="12" max="12" width="16.1796875" customWidth="1"/>
  </cols>
  <sheetData>
    <row r="1" spans="1:12" x14ac:dyDescent="0.35">
      <c r="A1" s="3" t="s">
        <v>0</v>
      </c>
      <c r="B1" s="3" t="s">
        <v>1</v>
      </c>
      <c r="C1" s="3" t="s">
        <v>2</v>
      </c>
      <c r="D1" s="3" t="s">
        <v>3</v>
      </c>
      <c r="E1" s="3" t="s">
        <v>4</v>
      </c>
      <c r="F1" s="3" t="s">
        <v>5</v>
      </c>
      <c r="G1" s="3" t="s">
        <v>6</v>
      </c>
      <c r="H1" s="3" t="s">
        <v>7</v>
      </c>
      <c r="I1" s="3" t="s">
        <v>8</v>
      </c>
      <c r="J1" s="3" t="s">
        <v>9</v>
      </c>
      <c r="K1" s="3" t="s">
        <v>10</v>
      </c>
      <c r="L1" s="3" t="s">
        <v>11</v>
      </c>
    </row>
    <row r="2" spans="1:12" x14ac:dyDescent="0.35">
      <c r="A2">
        <v>1001</v>
      </c>
      <c r="B2" t="s">
        <v>12</v>
      </c>
      <c r="C2" t="s">
        <v>13</v>
      </c>
      <c r="D2" t="s">
        <v>14</v>
      </c>
      <c r="E2" t="s">
        <v>15</v>
      </c>
      <c r="F2" t="s">
        <v>16</v>
      </c>
      <c r="G2" t="s">
        <v>17</v>
      </c>
      <c r="H2">
        <v>3</v>
      </c>
      <c r="I2" t="s">
        <v>18</v>
      </c>
      <c r="J2" t="s">
        <v>19</v>
      </c>
      <c r="K2" t="s">
        <v>20</v>
      </c>
      <c r="L2" t="s">
        <v>21</v>
      </c>
    </row>
    <row r="3" spans="1:12" x14ac:dyDescent="0.35">
      <c r="A3">
        <v>1002</v>
      </c>
      <c r="B3" t="s">
        <v>22</v>
      </c>
      <c r="C3" t="s">
        <v>23</v>
      </c>
      <c r="D3" t="s">
        <v>24</v>
      </c>
      <c r="E3" t="s">
        <v>25</v>
      </c>
      <c r="F3" t="s">
        <v>26</v>
      </c>
      <c r="G3" t="s">
        <v>27</v>
      </c>
      <c r="H3">
        <v>2</v>
      </c>
      <c r="I3" t="s">
        <v>28</v>
      </c>
      <c r="J3" t="s">
        <v>29</v>
      </c>
      <c r="L3" t="s">
        <v>30</v>
      </c>
    </row>
    <row r="4" spans="1:12" x14ac:dyDescent="0.35">
      <c r="A4">
        <v>1003</v>
      </c>
      <c r="B4" t="s">
        <v>31</v>
      </c>
      <c r="C4" t="s">
        <v>32</v>
      </c>
      <c r="D4" t="s">
        <v>33</v>
      </c>
      <c r="E4" t="s">
        <v>34</v>
      </c>
      <c r="F4" t="s">
        <v>16</v>
      </c>
      <c r="G4" t="s">
        <v>35</v>
      </c>
      <c r="I4" t="s">
        <v>36</v>
      </c>
      <c r="J4" t="s">
        <v>37</v>
      </c>
      <c r="K4" t="s">
        <v>38</v>
      </c>
      <c r="L4" t="s">
        <v>21</v>
      </c>
    </row>
    <row r="5" spans="1:12" x14ac:dyDescent="0.35">
      <c r="A5">
        <v>1004</v>
      </c>
      <c r="B5" t="s">
        <v>39</v>
      </c>
      <c r="C5" t="s">
        <v>40</v>
      </c>
      <c r="D5" t="s">
        <v>41</v>
      </c>
      <c r="E5" t="s">
        <v>42</v>
      </c>
      <c r="F5" t="s">
        <v>43</v>
      </c>
      <c r="G5" t="s">
        <v>44</v>
      </c>
      <c r="H5">
        <v>1</v>
      </c>
      <c r="I5" t="s">
        <v>45</v>
      </c>
      <c r="J5" t="s">
        <v>19</v>
      </c>
      <c r="K5" t="s">
        <v>46</v>
      </c>
      <c r="L5" t="s">
        <v>47</v>
      </c>
    </row>
    <row r="6" spans="1:12" x14ac:dyDescent="0.35">
      <c r="A6">
        <v>1005</v>
      </c>
      <c r="B6" t="s">
        <v>48</v>
      </c>
      <c r="C6" t="s">
        <v>49</v>
      </c>
      <c r="D6" t="s">
        <v>50</v>
      </c>
      <c r="E6" t="s">
        <v>25</v>
      </c>
      <c r="F6" t="s">
        <v>51</v>
      </c>
      <c r="G6" t="s">
        <v>17</v>
      </c>
      <c r="H6">
        <v>2</v>
      </c>
      <c r="I6" t="s">
        <v>52</v>
      </c>
      <c r="J6" t="s">
        <v>37</v>
      </c>
      <c r="K6" t="s">
        <v>53</v>
      </c>
      <c r="L6" t="s">
        <v>30</v>
      </c>
    </row>
    <row r="7" spans="1:12" x14ac:dyDescent="0.35">
      <c r="A7">
        <v>1006</v>
      </c>
      <c r="B7" t="s">
        <v>54</v>
      </c>
      <c r="C7" t="s">
        <v>55</v>
      </c>
      <c r="D7" t="s">
        <v>56</v>
      </c>
      <c r="E7" t="s">
        <v>57</v>
      </c>
      <c r="F7" t="s">
        <v>58</v>
      </c>
      <c r="G7" t="s">
        <v>59</v>
      </c>
      <c r="H7">
        <v>5</v>
      </c>
      <c r="I7" t="s">
        <v>60</v>
      </c>
      <c r="J7" t="s">
        <v>61</v>
      </c>
      <c r="L7" t="s">
        <v>21</v>
      </c>
    </row>
    <row r="8" spans="1:12" x14ac:dyDescent="0.35">
      <c r="A8">
        <v>1007</v>
      </c>
      <c r="B8" t="s">
        <v>62</v>
      </c>
      <c r="C8" t="s">
        <v>63</v>
      </c>
      <c r="D8" t="s">
        <v>64</v>
      </c>
      <c r="E8" t="s">
        <v>65</v>
      </c>
      <c r="F8" t="s">
        <v>66</v>
      </c>
      <c r="G8" t="s">
        <v>27</v>
      </c>
      <c r="H8">
        <v>3</v>
      </c>
      <c r="I8" t="s">
        <v>36</v>
      </c>
      <c r="J8" t="s">
        <v>37</v>
      </c>
      <c r="L8" t="s">
        <v>21</v>
      </c>
    </row>
    <row r="9" spans="1:12" x14ac:dyDescent="0.35">
      <c r="A9">
        <v>1008</v>
      </c>
      <c r="B9" t="s">
        <v>67</v>
      </c>
      <c r="C9" t="s">
        <v>68</v>
      </c>
      <c r="D9" t="s">
        <v>69</v>
      </c>
      <c r="E9" t="s">
        <v>15</v>
      </c>
      <c r="F9" t="s">
        <v>16</v>
      </c>
      <c r="G9" t="s">
        <v>44</v>
      </c>
      <c r="H9">
        <v>4</v>
      </c>
      <c r="I9" t="s">
        <v>45</v>
      </c>
      <c r="J9" t="s">
        <v>37</v>
      </c>
      <c r="K9" t="s">
        <v>70</v>
      </c>
      <c r="L9" t="s">
        <v>30</v>
      </c>
    </row>
    <row r="10" spans="1:12" x14ac:dyDescent="0.35">
      <c r="A10">
        <v>1009</v>
      </c>
      <c r="B10" t="s">
        <v>71</v>
      </c>
      <c r="C10" t="s">
        <v>72</v>
      </c>
      <c r="D10" t="s">
        <v>73</v>
      </c>
      <c r="E10" t="s">
        <v>57</v>
      </c>
      <c r="F10" t="s">
        <v>58</v>
      </c>
      <c r="G10" t="s">
        <v>35</v>
      </c>
      <c r="H10">
        <v>2</v>
      </c>
      <c r="I10" t="s">
        <v>60</v>
      </c>
      <c r="J10" t="s">
        <v>29</v>
      </c>
      <c r="L10" t="s">
        <v>47</v>
      </c>
    </row>
    <row r="11" spans="1:12" x14ac:dyDescent="0.35">
      <c r="A11">
        <v>1010</v>
      </c>
      <c r="B11" t="s">
        <v>74</v>
      </c>
      <c r="C11" t="s">
        <v>75</v>
      </c>
      <c r="D11" t="s">
        <v>76</v>
      </c>
      <c r="E11" t="s">
        <v>42</v>
      </c>
      <c r="F11" t="s">
        <v>58</v>
      </c>
      <c r="G11" t="s">
        <v>17</v>
      </c>
      <c r="I11" t="s">
        <v>45</v>
      </c>
      <c r="J11" t="s">
        <v>37</v>
      </c>
      <c r="K11" t="s">
        <v>38</v>
      </c>
      <c r="L11" t="s">
        <v>21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Views>
    <sheetView topLeftCell="N1" workbookViewId="0">
      <selection activeCell="S1" sqref="S1:T11"/>
    </sheetView>
  </sheetViews>
  <sheetFormatPr defaultRowHeight="14.5" x14ac:dyDescent="0.35"/>
  <cols>
    <col min="1" max="1" width="10.81640625" bestFit="1" customWidth="1"/>
    <col min="2" max="2" width="13.54296875" bestFit="1" customWidth="1"/>
    <col min="3" max="4" width="13.54296875" style="1" customWidth="1"/>
    <col min="5" max="5" width="17.26953125" style="9" bestFit="1" customWidth="1"/>
    <col min="6" max="6" width="16" bestFit="1" customWidth="1"/>
    <col min="8" max="8" width="9.1796875" bestFit="1" customWidth="1"/>
    <col min="9" max="9" width="9.1796875" style="1" customWidth="1"/>
    <col min="10" max="10" width="12.54296875" bestFit="1" customWidth="1"/>
    <col min="11" max="11" width="10.453125" bestFit="1" customWidth="1"/>
    <col min="12" max="12" width="14" bestFit="1" customWidth="1"/>
    <col min="13" max="13" width="14" style="1" customWidth="1"/>
    <col min="15" max="15" width="10.453125" bestFit="1" customWidth="1"/>
    <col min="16" max="16" width="16.54296875" bestFit="1" customWidth="1"/>
    <col min="17" max="21" width="16.54296875" style="1" customWidth="1"/>
    <col min="22" max="22" width="14.6328125" bestFit="1" customWidth="1"/>
    <col min="23" max="23" width="22.54296875" bestFit="1" customWidth="1"/>
  </cols>
  <sheetData>
    <row r="1" spans="1:23" x14ac:dyDescent="0.35">
      <c r="A1" s="4" t="s">
        <v>0</v>
      </c>
      <c r="B1" s="4" t="s">
        <v>1</v>
      </c>
      <c r="C1" s="4" t="s">
        <v>122</v>
      </c>
      <c r="D1" s="4" t="s">
        <v>123</v>
      </c>
      <c r="E1" s="8" t="s">
        <v>2</v>
      </c>
      <c r="F1" s="4" t="s">
        <v>3</v>
      </c>
      <c r="G1" s="4" t="s">
        <v>5</v>
      </c>
      <c r="H1" s="4" t="s">
        <v>4</v>
      </c>
      <c r="I1" s="4" t="s">
        <v>129</v>
      </c>
      <c r="J1" s="4" t="s">
        <v>6</v>
      </c>
      <c r="K1" s="4" t="s">
        <v>7</v>
      </c>
      <c r="L1" s="4" t="s">
        <v>137</v>
      </c>
      <c r="M1" s="4" t="s">
        <v>78</v>
      </c>
      <c r="N1" s="4" t="s">
        <v>9</v>
      </c>
      <c r="O1" s="4" t="s">
        <v>10</v>
      </c>
      <c r="P1" s="4" t="s">
        <v>11</v>
      </c>
      <c r="Q1" s="4" t="s">
        <v>126</v>
      </c>
      <c r="R1" s="4" t="s">
        <v>127</v>
      </c>
      <c r="S1" s="4" t="s">
        <v>125</v>
      </c>
      <c r="T1" s="4" t="s">
        <v>131</v>
      </c>
      <c r="U1" s="4" t="s">
        <v>132</v>
      </c>
      <c r="V1" t="s">
        <v>124</v>
      </c>
      <c r="W1" t="s">
        <v>128</v>
      </c>
    </row>
    <row r="2" spans="1:23" x14ac:dyDescent="0.35">
      <c r="A2" s="4">
        <v>1001</v>
      </c>
      <c r="B2" s="7">
        <v>45303</v>
      </c>
      <c r="C2" s="7" t="str">
        <f>TEXT(Table1_3[[#This Row],[Order_Date]],"mmm")</f>
        <v>Jan</v>
      </c>
      <c r="D2" s="7" t="str">
        <f>TEXT(Table1_3[[#This Row],[Order_Date]],"yyyy")</f>
        <v>2024</v>
      </c>
      <c r="E2" s="8" t="s">
        <v>93</v>
      </c>
      <c r="F2" s="4" t="s">
        <v>14</v>
      </c>
      <c r="G2" s="4" t="s">
        <v>94</v>
      </c>
      <c r="H2" s="4" t="s">
        <v>15</v>
      </c>
      <c r="I2" s="4">
        <f t="shared" ref="I2" si="0">COUNTIF(H2:H11,H2)</f>
        <v>2</v>
      </c>
      <c r="J2" s="4" t="s">
        <v>17</v>
      </c>
      <c r="K2" s="10">
        <v>3</v>
      </c>
      <c r="L2" s="4" t="s">
        <v>36</v>
      </c>
      <c r="M2" s="4" t="str">
        <f>VLOOKUP(J2:$J$11,Category_discount!$A$1:$C$5,2,0)</f>
        <v>Electronics</v>
      </c>
      <c r="N2" s="4" t="s">
        <v>37</v>
      </c>
      <c r="O2" s="5">
        <f>VLOOKUP(Table1_3[Product_ID],Category_discount!A1:C5,3,0)</f>
        <v>0.1</v>
      </c>
      <c r="P2" s="4" t="s">
        <v>21</v>
      </c>
      <c r="Q2" s="4" t="str">
        <f>IF(Table1_3[[#This Row],[Total Amount]]&gt;10000,"High Value","Normal")</f>
        <v>Normal</v>
      </c>
      <c r="R2" s="11">
        <f>Table1_3[[#This Row],[Unit Price]]-Table1_3[[#This Row],[Discount]]</f>
        <v>2499.9</v>
      </c>
      <c r="S2" s="4">
        <f>VLOOKUP($J$2:$J$11,Product_Master!$A$1:$D$6,4,0)</f>
        <v>2500</v>
      </c>
      <c r="T2" s="12">
        <f>AVERAGEIF(Table1_3[Category],Table1_3[[#This Row],[Category]],Table1_3[Total Amount])</f>
        <v>5833.333333333333</v>
      </c>
      <c r="U2" s="12">
        <f>SUMIF($H$2:$H$11,Table1_3[[#This Row],[City]],Table1_3[Total Amount])</f>
        <v>19500</v>
      </c>
      <c r="V2" s="4">
        <f>(Table1_3[[#This Row],[Quantity]]*Table1_3[[#This Row],[Unit Price]])</f>
        <v>7500</v>
      </c>
      <c r="W2" s="4" t="str">
        <f>CONCATENATE(Table1_3[[#This Row],[Order_ID]],"-",Table1_3[[#This Row],[Customer_Name]],"-",Table1_3[[#This Row],[Product_ID]])</f>
        <v>1001-Neha Bajaj-P101</v>
      </c>
    </row>
    <row r="3" spans="1:23" x14ac:dyDescent="0.35">
      <c r="A3" s="4">
        <v>1002</v>
      </c>
      <c r="B3" s="7">
        <v>45306</v>
      </c>
      <c r="C3" s="7" t="str">
        <f>TEXT(Table1_3[[#This Row],[Order_Date]],"mmm")</f>
        <v>Jan</v>
      </c>
      <c r="D3" s="7" t="str">
        <f>TEXT(Table1_3[[#This Row],[Order_Date]],"yyyy")</f>
        <v>2024</v>
      </c>
      <c r="E3" s="8" t="s">
        <v>95</v>
      </c>
      <c r="F3" s="4" t="s">
        <v>24</v>
      </c>
      <c r="G3" s="4" t="s">
        <v>51</v>
      </c>
      <c r="H3" s="4" t="s">
        <v>25</v>
      </c>
      <c r="I3" s="4">
        <f t="shared" ref="I3:I11" si="1">COUNTIF(H3:H12,H3)</f>
        <v>3</v>
      </c>
      <c r="J3" s="4" t="s">
        <v>27</v>
      </c>
      <c r="K3" s="10">
        <v>2</v>
      </c>
      <c r="L3" s="4" t="s">
        <v>91</v>
      </c>
      <c r="M3" s="4" t="str">
        <f>VLOOKUP(J3:$J$11,Category_discount!$A$1:$C$5,2,0)</f>
        <v>Furniture</v>
      </c>
      <c r="N3" s="4" t="s">
        <v>29</v>
      </c>
      <c r="O3" s="5">
        <f>VLOOKUP(Table1_3[Product_ID],Category_discount!A2:C6,3,0)</f>
        <v>0.08</v>
      </c>
      <c r="P3" s="4" t="s">
        <v>30</v>
      </c>
      <c r="Q3" s="4" t="str">
        <f>IF(Table1_3[[#This Row],[Total Amount]]&gt;10000,"High Value","Normal")</f>
        <v>High Value</v>
      </c>
      <c r="R3" s="11">
        <f>Table1_3[[#This Row],[Unit Price]]-Table1_3[[#This Row],[Discount]]</f>
        <v>5999.92</v>
      </c>
      <c r="S3" s="4">
        <f>VLOOKUP($J$2:$J$11,Product_Master!$A$1:$D$6,4,0)</f>
        <v>6000</v>
      </c>
      <c r="T3" s="12">
        <f>AVERAGEIF(Table1_3[Category],Table1_3[[#This Row],[Category]],Table1_3[Total Amount])</f>
        <v>23333.333333333332</v>
      </c>
      <c r="U3" s="12">
        <f>SUMIF($H$2:$H$11,Table1_3[[#This Row],[City]],Table1_3[Total Amount])</f>
        <v>20000</v>
      </c>
      <c r="V3" s="4">
        <f>(Table1_3[[#This Row],[Quantity]]*Table1_3[[#This Row],[Unit Price]])</f>
        <v>12000</v>
      </c>
      <c r="W3" s="4" t="str">
        <f>CONCATENATE(Table1_3[[#This Row],[Order_ID]],"-",Table1_3[[#This Row],[Customer_Name]],"-",Table1_3[[#This Row],[Product_ID]])</f>
        <v>1002-Arjun Verma-P102</v>
      </c>
    </row>
    <row r="4" spans="1:23" x14ac:dyDescent="0.35">
      <c r="A4" s="4">
        <v>1003</v>
      </c>
      <c r="B4" s="7">
        <v>45307</v>
      </c>
      <c r="C4" s="7" t="str">
        <f>TEXT(Table1_3[[#This Row],[Order_Date]],"mmm")</f>
        <v>Jan</v>
      </c>
      <c r="D4" s="7" t="str">
        <f>TEXT(Table1_3[[#This Row],[Order_Date]],"yyyy")</f>
        <v>2024</v>
      </c>
      <c r="E4" s="8" t="s">
        <v>96</v>
      </c>
      <c r="F4" s="4" t="s">
        <v>33</v>
      </c>
      <c r="G4" s="4" t="s">
        <v>94</v>
      </c>
      <c r="H4" s="4" t="s">
        <v>65</v>
      </c>
      <c r="I4" s="4">
        <f t="shared" si="1"/>
        <v>2</v>
      </c>
      <c r="J4" s="4" t="s">
        <v>35</v>
      </c>
      <c r="K4" s="10">
        <v>2</v>
      </c>
      <c r="L4" s="4" t="s">
        <v>36</v>
      </c>
      <c r="M4" s="4" t="str">
        <f>VLOOKUP(J4:$J$11,Category_discount!$A$1:$C$5,2,0)</f>
        <v>Accessories</v>
      </c>
      <c r="N4" s="4" t="s">
        <v>37</v>
      </c>
      <c r="O4" s="5">
        <f>VLOOKUP(Table1_3[Product_ID],Category_discount!A3:C7,3,0)</f>
        <v>7.0000000000000007E-2</v>
      </c>
      <c r="P4" s="4" t="s">
        <v>21</v>
      </c>
      <c r="Q4" s="4" t="str">
        <f>IF(Table1_3[[#This Row],[Total Amount]]&gt;10000,"High Value","Normal")</f>
        <v>Normal</v>
      </c>
      <c r="R4" s="11">
        <f>Table1_3[[#This Row],[Unit Price]]-Table1_3[[#This Row],[Discount]]</f>
        <v>1499.93</v>
      </c>
      <c r="S4" s="4">
        <f>VLOOKUP($J$2:$J$11,Product_Master!$A$1:$D$6,4,0)</f>
        <v>1500</v>
      </c>
      <c r="T4" s="12">
        <f>AVERAGEIF(Table1_3[Category],Table1_3[[#This Row],[Category]],Table1_3[Total Amount])</f>
        <v>3000</v>
      </c>
      <c r="U4" s="12">
        <f>SUMIF($H$2:$H$11,Table1_3[[#This Row],[City]],Table1_3[Total Amount])</f>
        <v>21000</v>
      </c>
      <c r="V4" s="4">
        <f>(Table1_3[[#This Row],[Quantity]]*Table1_3[[#This Row],[Unit Price]])</f>
        <v>3000</v>
      </c>
      <c r="W4" s="4" t="str">
        <f>CONCATENATE(Table1_3[[#This Row],[Order_ID]],"-",Table1_3[[#This Row],[Customer_Name]],"-",Table1_3[[#This Row],[Product_ID]])</f>
        <v>1003-Sneha Rao-P105</v>
      </c>
    </row>
    <row r="5" spans="1:23" x14ac:dyDescent="0.35">
      <c r="A5" s="4">
        <v>1004</v>
      </c>
      <c r="B5" s="7">
        <v>45309</v>
      </c>
      <c r="C5" s="7" t="str">
        <f>TEXT(Table1_3[[#This Row],[Order_Date]],"mmm")</f>
        <v>Jan</v>
      </c>
      <c r="D5" s="7" t="str">
        <f>TEXT(Table1_3[[#This Row],[Order_Date]],"yyyy")</f>
        <v>2024</v>
      </c>
      <c r="E5" s="8" t="s">
        <v>40</v>
      </c>
      <c r="F5" s="4" t="s">
        <v>41</v>
      </c>
      <c r="G5" s="4" t="s">
        <v>58</v>
      </c>
      <c r="H5" s="4" t="s">
        <v>130</v>
      </c>
      <c r="I5" s="4">
        <f t="shared" si="1"/>
        <v>2</v>
      </c>
      <c r="J5" s="4" t="s">
        <v>44</v>
      </c>
      <c r="K5" s="10">
        <v>1</v>
      </c>
      <c r="L5" s="4" t="s">
        <v>45</v>
      </c>
      <c r="M5" s="4" t="str">
        <f>VLOOKUP(J5:$J$11,Category_discount!$A$1:$C$5,2,0)</f>
        <v>Kitchen</v>
      </c>
      <c r="N5" s="4" t="s">
        <v>37</v>
      </c>
      <c r="O5" s="5">
        <f>VLOOKUP(Table1_3[Product_ID],Category_discount!A4:C8,3,0)</f>
        <v>0.05</v>
      </c>
      <c r="P5" s="4" t="s">
        <v>47</v>
      </c>
      <c r="Q5" s="4" t="str">
        <f>IF(Table1_3[[#This Row],[Total Amount]]&gt;10000,"High Value","Normal")</f>
        <v>Normal</v>
      </c>
      <c r="R5" s="11">
        <f>Table1_3[[#This Row],[Unit Price]]-Table1_3[[#This Row],[Discount]]</f>
        <v>2999.95</v>
      </c>
      <c r="S5" s="4">
        <f>VLOOKUP($J$2:$J$11,Product_Master!$A$1:$D$6,4,0)</f>
        <v>3000</v>
      </c>
      <c r="T5" s="12">
        <f>AVERAGEIF(Table1_3[Category],Table1_3[[#This Row],[Category]],Table1_3[Total Amount])</f>
        <v>7500</v>
      </c>
      <c r="U5" s="12">
        <f>SUMIF($H$2:$H$11,Table1_3[[#This Row],[City]],Table1_3[Total Amount])</f>
        <v>20000</v>
      </c>
      <c r="V5" s="4">
        <f>(Table1_3[[#This Row],[Quantity]]*Table1_3[[#This Row],[Unit Price]])</f>
        <v>3000</v>
      </c>
      <c r="W5" s="4" t="str">
        <f>CONCATENATE(Table1_3[[#This Row],[Order_ID]],"-",Table1_3[[#This Row],[Customer_Name]],"-",Table1_3[[#This Row],[Product_ID]])</f>
        <v>1004-Ramesh Gupta-P103</v>
      </c>
    </row>
    <row r="6" spans="1:23" x14ac:dyDescent="0.35">
      <c r="A6" s="4">
        <v>1005</v>
      </c>
      <c r="B6" s="7">
        <v>45311</v>
      </c>
      <c r="C6" s="7" t="str">
        <f>TEXT(Table1_3[[#This Row],[Order_Date]],"mmm")</f>
        <v>Jan</v>
      </c>
      <c r="D6" s="7" t="str">
        <f>TEXT(Table1_3[[#This Row],[Order_Date]],"yyyy")</f>
        <v>2024</v>
      </c>
      <c r="E6" s="8" t="s">
        <v>49</v>
      </c>
      <c r="F6" s="4" t="s">
        <v>50</v>
      </c>
      <c r="G6" s="4" t="s">
        <v>51</v>
      </c>
      <c r="H6" s="4" t="s">
        <v>25</v>
      </c>
      <c r="I6" s="4">
        <f t="shared" si="1"/>
        <v>1</v>
      </c>
      <c r="J6" s="4" t="s">
        <v>17</v>
      </c>
      <c r="K6" s="10">
        <v>2</v>
      </c>
      <c r="L6" s="4" t="s">
        <v>91</v>
      </c>
      <c r="M6" s="4" t="str">
        <f>VLOOKUP(J6:$J$11,Category_discount!$A$1:$C$5,2,0)</f>
        <v>Electronics</v>
      </c>
      <c r="N6" s="4" t="s">
        <v>37</v>
      </c>
      <c r="O6" s="5">
        <f>VLOOKUP(J6:J11,Category_discount!A1:C5,3,0)</f>
        <v>0.1</v>
      </c>
      <c r="P6" s="4" t="s">
        <v>30</v>
      </c>
      <c r="Q6" s="4" t="str">
        <f>IF(Table1_3[[#This Row],[Total Amount]]&gt;10000,"High Value","Normal")</f>
        <v>Normal</v>
      </c>
      <c r="R6" s="11">
        <f>Table1_3[[#This Row],[Unit Price]]-Table1_3[[#This Row],[Discount]]</f>
        <v>2499.9</v>
      </c>
      <c r="S6" s="4">
        <f>VLOOKUP($J$2:$J$11,Product_Master!$A$1:$D$6,4,0)</f>
        <v>2500</v>
      </c>
      <c r="T6" s="12">
        <f>AVERAGEIF(Table1_3[Category],Table1_3[[#This Row],[Category]],Table1_3[Total Amount])</f>
        <v>5833.333333333333</v>
      </c>
      <c r="U6" s="12">
        <f>SUMIF($H$2:$H$11,Table1_3[[#This Row],[City]],Table1_3[Total Amount])</f>
        <v>20000</v>
      </c>
      <c r="V6" s="4">
        <f>(Table1_3[[#This Row],[Quantity]]*Table1_3[[#This Row],[Unit Price]])</f>
        <v>5000</v>
      </c>
      <c r="W6" s="4" t="str">
        <f>CONCATENATE(Table1_3[[#This Row],[Order_ID]],"-",Table1_3[[#This Row],[Customer_Name]],"-",Table1_3[[#This Row],[Product_ID]])</f>
        <v>1005-Simran Kaur-P101</v>
      </c>
    </row>
    <row r="7" spans="1:23" x14ac:dyDescent="0.35">
      <c r="A7" s="4">
        <v>1006</v>
      </c>
      <c r="B7" s="7">
        <v>45312</v>
      </c>
      <c r="C7" s="7" t="str">
        <f>TEXT(Table1_3[[#This Row],[Order_Date]],"mmm")</f>
        <v>Jan</v>
      </c>
      <c r="D7" s="7" t="str">
        <f>TEXT(Table1_3[[#This Row],[Order_Date]],"yyyy")</f>
        <v>2024</v>
      </c>
      <c r="E7" s="8" t="s">
        <v>55</v>
      </c>
      <c r="F7" s="4" t="s">
        <v>56</v>
      </c>
      <c r="G7" s="4" t="s">
        <v>58</v>
      </c>
      <c r="H7" s="4" t="s">
        <v>57</v>
      </c>
      <c r="I7" s="4">
        <f t="shared" si="1"/>
        <v>2</v>
      </c>
      <c r="J7" s="4" t="s">
        <v>59</v>
      </c>
      <c r="K7" s="10">
        <v>5</v>
      </c>
      <c r="L7" s="4" t="s">
        <v>60</v>
      </c>
      <c r="M7" s="1" t="s">
        <v>83</v>
      </c>
      <c r="N7" s="4" t="s">
        <v>97</v>
      </c>
      <c r="O7" s="5">
        <v>0</v>
      </c>
      <c r="P7" s="4" t="s">
        <v>21</v>
      </c>
      <c r="Q7" s="4" t="str">
        <f>IF(Table1_3[[#This Row],[Total Amount]]&gt;10000,"High Value","Normal")</f>
        <v>High Value</v>
      </c>
      <c r="R7" s="11">
        <f>Table1_3[[#This Row],[Unit Price]]-Table1_3[[#This Row],[Discount]]</f>
        <v>8000</v>
      </c>
      <c r="S7" s="4">
        <f>VLOOKUP($J$2:$J$11,Product_Master!$A$1:$D$6,4,0)</f>
        <v>8000</v>
      </c>
      <c r="T7" s="12">
        <f>AVERAGEIF(Table1_3[Category],Table1_3[[#This Row],[Category]],Table1_3[Total Amount])</f>
        <v>23333.333333333332</v>
      </c>
      <c r="U7" s="12">
        <f>SUMIF($H$2:$H$11,Table1_3[[#This Row],[City]],Table1_3[Total Amount])</f>
        <v>43000</v>
      </c>
      <c r="V7" s="4">
        <f>(Table1_3[[#This Row],[Quantity]]*Table1_3[[#This Row],[Unit Price]])</f>
        <v>40000</v>
      </c>
      <c r="W7" s="4" t="str">
        <f>CONCATENATE(Table1_3[[#This Row],[Order_ID]],"-",Table1_3[[#This Row],[Customer_Name]],"-",Table1_3[[#This Row],[Product_ID]])</f>
        <v>1006-Rahul Jain-P104</v>
      </c>
    </row>
    <row r="8" spans="1:23" x14ac:dyDescent="0.35">
      <c r="A8" s="4">
        <v>1007</v>
      </c>
      <c r="B8" s="7">
        <v>45316</v>
      </c>
      <c r="C8" s="7" t="str">
        <f>TEXT(Table1_3[[#This Row],[Order_Date]],"mmm")</f>
        <v>Jan</v>
      </c>
      <c r="D8" s="7" t="str">
        <f>TEXT(Table1_3[[#This Row],[Order_Date]],"yyyy")</f>
        <v>2024</v>
      </c>
      <c r="E8" s="8" t="s">
        <v>92</v>
      </c>
      <c r="F8" s="4" t="s">
        <v>64</v>
      </c>
      <c r="G8" s="4" t="s">
        <v>94</v>
      </c>
      <c r="H8" s="4" t="s">
        <v>65</v>
      </c>
      <c r="I8" s="4">
        <f t="shared" si="1"/>
        <v>1</v>
      </c>
      <c r="J8" s="4" t="s">
        <v>27</v>
      </c>
      <c r="K8" s="10">
        <v>3</v>
      </c>
      <c r="L8" s="4" t="s">
        <v>36</v>
      </c>
      <c r="M8" s="4" t="str">
        <f>VLOOKUP(J8:$J$11,Category_discount!$A$1:$C$5,2,0)</f>
        <v>Furniture</v>
      </c>
      <c r="N8" s="4" t="s">
        <v>37</v>
      </c>
      <c r="O8" s="5">
        <f>VLOOKUP($J$7:$J$11,Category_discount!A2:C6,3,0)</f>
        <v>0.08</v>
      </c>
      <c r="P8" s="4" t="s">
        <v>21</v>
      </c>
      <c r="Q8" s="4" t="str">
        <f>IF(Table1_3[[#This Row],[Total Amount]]&gt;10000,"High Value","Normal")</f>
        <v>High Value</v>
      </c>
      <c r="R8" s="11">
        <f>Table1_3[[#This Row],[Unit Price]]-Table1_3[[#This Row],[Discount]]</f>
        <v>5999.92</v>
      </c>
      <c r="S8" s="4">
        <f>VLOOKUP($J$2:$J$11,Product_Master!$A$1:$D$6,4,0)</f>
        <v>6000</v>
      </c>
      <c r="T8" s="12">
        <f>AVERAGEIF(Table1_3[Category],Table1_3[[#This Row],[Category]],Table1_3[Total Amount])</f>
        <v>23333.333333333332</v>
      </c>
      <c r="U8" s="12">
        <f>SUMIF($H$2:$H$11,Table1_3[[#This Row],[City]],Table1_3[Total Amount])</f>
        <v>21000</v>
      </c>
      <c r="V8" s="4">
        <f>(Table1_3[[#This Row],[Quantity]]*Table1_3[[#This Row],[Unit Price]])</f>
        <v>18000</v>
      </c>
      <c r="W8" s="4" t="str">
        <f>CONCATENATE(Table1_3[[#This Row],[Order_ID]],"-",Table1_3[[#This Row],[Customer_Name]],"-",Table1_3[[#This Row],[Product_ID]])</f>
        <v>1007-Anjali Singh-P102</v>
      </c>
    </row>
    <row r="9" spans="1:23" x14ac:dyDescent="0.35">
      <c r="A9" s="4">
        <v>1008</v>
      </c>
      <c r="B9" s="7">
        <v>45317</v>
      </c>
      <c r="C9" s="7" t="str">
        <f>TEXT(Table1_3[[#This Row],[Order_Date]],"mmm")</f>
        <v>Jan</v>
      </c>
      <c r="D9" s="7" t="str">
        <f>TEXT(Table1_3[[#This Row],[Order_Date]],"yyyy")</f>
        <v>2024</v>
      </c>
      <c r="E9" s="8" t="s">
        <v>68</v>
      </c>
      <c r="F9" s="4" t="s">
        <v>69</v>
      </c>
      <c r="G9" s="4" t="s">
        <v>94</v>
      </c>
      <c r="H9" s="4" t="s">
        <v>15</v>
      </c>
      <c r="I9" s="4">
        <f t="shared" si="1"/>
        <v>1</v>
      </c>
      <c r="J9" s="4" t="s">
        <v>44</v>
      </c>
      <c r="K9" s="10">
        <v>4</v>
      </c>
      <c r="L9" s="4" t="s">
        <v>45</v>
      </c>
      <c r="M9" s="4" t="str">
        <f>VLOOKUP(J9:$J$11,Category_discount!$A$1:$C$5,2,0)</f>
        <v>Kitchen</v>
      </c>
      <c r="N9" s="4" t="s">
        <v>37</v>
      </c>
      <c r="O9" s="5">
        <f>VLOOKUP($J$7:$J$11,Category_discount!A3:C7,3,0)</f>
        <v>0.05</v>
      </c>
      <c r="P9" s="4" t="s">
        <v>30</v>
      </c>
      <c r="Q9" s="4" t="str">
        <f>IF(Table1_3[[#This Row],[Total Amount]]&gt;10000,"High Value","Normal")</f>
        <v>High Value</v>
      </c>
      <c r="R9" s="11">
        <f>Table1_3[[#This Row],[Unit Price]]-Table1_3[[#This Row],[Discount]]</f>
        <v>2999.95</v>
      </c>
      <c r="S9" s="4">
        <f>VLOOKUP($J$2:$J$11,Product_Master!$A$1:$D$6,4,0)</f>
        <v>3000</v>
      </c>
      <c r="T9" s="12">
        <f>AVERAGEIF(Table1_3[Category],Table1_3[[#This Row],[Category]],Table1_3[Total Amount])</f>
        <v>7500</v>
      </c>
      <c r="U9" s="12">
        <f>SUMIF($H$2:$H$11,Table1_3[[#This Row],[City]],Table1_3[Total Amount])</f>
        <v>19500</v>
      </c>
      <c r="V9" s="4">
        <f>(Table1_3[[#This Row],[Quantity]]*Table1_3[[#This Row],[Unit Price]])</f>
        <v>12000</v>
      </c>
      <c r="W9" s="4" t="str">
        <f>CONCATENATE(Table1_3[[#This Row],[Order_ID]],"-",Table1_3[[#This Row],[Customer_Name]],"-",Table1_3[[#This Row],[Product_ID]])</f>
        <v>1008-Karan Patel-P103</v>
      </c>
    </row>
    <row r="10" spans="1:23" x14ac:dyDescent="0.35">
      <c r="A10" s="4">
        <v>1009</v>
      </c>
      <c r="B10" s="7">
        <v>45320</v>
      </c>
      <c r="C10" s="7" t="str">
        <f>TEXT(Table1_3[[#This Row],[Order_Date]],"mmm")</f>
        <v>Jan</v>
      </c>
      <c r="D10" s="7" t="str">
        <f>TEXT(Table1_3[[#This Row],[Order_Date]],"yyyy")</f>
        <v>2024</v>
      </c>
      <c r="E10" s="8" t="s">
        <v>72</v>
      </c>
      <c r="F10" s="4" t="s">
        <v>73</v>
      </c>
      <c r="G10" s="4" t="s">
        <v>58</v>
      </c>
      <c r="H10" s="4" t="s">
        <v>57</v>
      </c>
      <c r="I10" s="4">
        <f t="shared" si="1"/>
        <v>1</v>
      </c>
      <c r="J10" s="4" t="s">
        <v>35</v>
      </c>
      <c r="K10" s="10">
        <v>2</v>
      </c>
      <c r="L10" s="4" t="s">
        <v>60</v>
      </c>
      <c r="M10" s="4" t="str">
        <f>VLOOKUP(J10:$J$11,Category_discount!$A$1:$C$5,2,0)</f>
        <v>Accessories</v>
      </c>
      <c r="N10" s="4" t="s">
        <v>29</v>
      </c>
      <c r="O10" s="5">
        <f>VLOOKUP($J$7:$J$11,Category_discount!A4:C8,3,0)</f>
        <v>7.0000000000000007E-2</v>
      </c>
      <c r="P10" s="4" t="s">
        <v>47</v>
      </c>
      <c r="Q10" s="4" t="str">
        <f>IF(Table1_3[[#This Row],[Total Amount]]&gt;10000,"High Value","Normal")</f>
        <v>Normal</v>
      </c>
      <c r="R10" s="11">
        <f>Table1_3[[#This Row],[Unit Price]]-Table1_3[[#This Row],[Discount]]</f>
        <v>1499.93</v>
      </c>
      <c r="S10" s="4">
        <f>VLOOKUP($J$2:$J$11,Product_Master!$A$1:$D$6,4,0)</f>
        <v>1500</v>
      </c>
      <c r="T10" s="12">
        <f>AVERAGEIF(Table1_3[Category],Table1_3[[#This Row],[Category]],Table1_3[Total Amount])</f>
        <v>3000</v>
      </c>
      <c r="U10" s="12">
        <f>SUMIF($H$2:$H$11,Table1_3[[#This Row],[City]],Table1_3[Total Amount])</f>
        <v>43000</v>
      </c>
      <c r="V10" s="4">
        <f>(Table1_3[[#This Row],[Quantity]]*Table1_3[[#This Row],[Unit Price]])</f>
        <v>3000</v>
      </c>
      <c r="W10" s="4" t="str">
        <f>CONCATENATE(Table1_3[[#This Row],[Order_ID]],"-",Table1_3[[#This Row],[Customer_Name]],"-",Table1_3[[#This Row],[Product_ID]])</f>
        <v>1009-Manish Joshi-P105</v>
      </c>
    </row>
    <row r="11" spans="1:23" ht="18.5" customHeight="1" x14ac:dyDescent="0.35">
      <c r="A11" s="4">
        <v>1010</v>
      </c>
      <c r="B11" s="7">
        <v>45322</v>
      </c>
      <c r="C11" s="7" t="str">
        <f>TEXT(Table1_3[[#This Row],[Order_Date]],"mmm")</f>
        <v>Jan</v>
      </c>
      <c r="D11" s="7" t="str">
        <f>TEXT(Table1_3[[#This Row],[Order_Date]],"yyyy")</f>
        <v>2024</v>
      </c>
      <c r="E11" s="8" t="s">
        <v>75</v>
      </c>
      <c r="F11" s="4" t="s">
        <v>76</v>
      </c>
      <c r="G11" s="4" t="s">
        <v>58</v>
      </c>
      <c r="H11" s="4" t="s">
        <v>42</v>
      </c>
      <c r="I11" s="4">
        <f t="shared" si="1"/>
        <v>1</v>
      </c>
      <c r="J11" s="4" t="s">
        <v>17</v>
      </c>
      <c r="K11" s="10">
        <v>2</v>
      </c>
      <c r="L11" s="4" t="s">
        <v>45</v>
      </c>
      <c r="M11" s="4" t="str">
        <f>VLOOKUP(J11:$J$11,Category_discount!$A$1:$C$5,2,0)</f>
        <v>Electronics</v>
      </c>
      <c r="N11" s="4" t="s">
        <v>37</v>
      </c>
      <c r="O11" s="5">
        <f>VLOOKUP(Table1_3[Product_ID],Category_discount!A1:C5,3,0)</f>
        <v>0.1</v>
      </c>
      <c r="P11" s="4" t="s">
        <v>21</v>
      </c>
      <c r="Q11" s="4" t="str">
        <f>IF(Table1_3[[#This Row],[Total Amount]]&gt;10000,"High Value","Normal")</f>
        <v>Normal</v>
      </c>
      <c r="R11" s="11">
        <f>Table1_3[[#This Row],[Unit Price]]-Table1_3[[#This Row],[Discount]]</f>
        <v>2499.9</v>
      </c>
      <c r="S11" s="4">
        <f>VLOOKUP($J$2:$J$11,Product_Master!$A$1:$D$6,4,0)</f>
        <v>2500</v>
      </c>
      <c r="T11" s="12">
        <f>AVERAGEIF(Table1_3[Category],Table1_3[[#This Row],[Category]],Table1_3[Total Amount])</f>
        <v>5833.333333333333</v>
      </c>
      <c r="U11" s="12">
        <f>SUMIF($H$2:$H$11,Table1_3[[#This Row],[City]],Table1_3[Total Amount])</f>
        <v>5000</v>
      </c>
      <c r="V11" s="4">
        <f>(Table1_3[[#This Row],[Quantity]]*Table1_3[[#This Row],[Unit Price]])</f>
        <v>5000</v>
      </c>
      <c r="W11" s="4" t="str">
        <f>CONCATENATE(Table1_3[[#This Row],[Order_ID]],"-",Table1_3[[#This Row],[Customer_Name]],"-",Table1_3[[#This Row],[Product_ID]])</f>
        <v>1010-Kavita Bansal-P101</v>
      </c>
    </row>
    <row r="12" spans="1:23" x14ac:dyDescent="0.35">
      <c r="A12" s="4"/>
      <c r="B12" s="7"/>
      <c r="C12" s="7"/>
      <c r="D12" s="7"/>
      <c r="E12" s="8"/>
      <c r="F12" s="4"/>
      <c r="G12" s="4"/>
      <c r="H12" s="4"/>
      <c r="I12" s="4"/>
      <c r="J12" s="4"/>
      <c r="K12" s="10"/>
      <c r="L12" s="4"/>
      <c r="M12" s="4"/>
      <c r="N12" s="4"/>
      <c r="O12" s="5"/>
      <c r="P12" s="4"/>
      <c r="Q12" s="4"/>
      <c r="R12" s="11">
        <f>SUM(R2:R11)</f>
        <v>36499.299999999996</v>
      </c>
      <c r="S12" s="4">
        <f>SUM(S2:S11)</f>
        <v>36500</v>
      </c>
      <c r="T12" s="12">
        <f>SUM(T2:T11)</f>
        <v>108499.99999999999</v>
      </c>
      <c r="U12" s="12">
        <f>SUM(U2:U11)</f>
        <v>232000</v>
      </c>
      <c r="V12">
        <f>SUBTOTAL(109,Table1_3[Total Amount])</f>
        <v>108500</v>
      </c>
      <c r="W12" s="4"/>
    </row>
    <row r="14" spans="1:23" x14ac:dyDescent="0.35">
      <c r="V14" s="17">
        <f>SUM(Table1_3[Total Amount])</f>
        <v>108500</v>
      </c>
    </row>
  </sheetData>
  <conditionalFormatting sqref="V1">
    <cfRule type="cellIs" dxfId="52" priority="3" operator="greaterThan">
      <formula>10000</formula>
    </cfRule>
  </conditionalFormatting>
  <conditionalFormatting sqref="V2:V11">
    <cfRule type="cellIs" dxfId="51" priority="1" operator="lessThan">
      <formula>10000</formula>
    </cfRule>
    <cfRule type="cellIs" dxfId="50" priority="2" operator="greaterThan">
      <formula>10000</formula>
    </cfRule>
  </conditionalFormatting>
  <pageMargins left="0.7" right="0.7" top="0.75" bottom="0.75" header="0.3" footer="0.3"/>
  <pageSetup orientation="portrait" r:id="rId1"/>
  <ignoredErrors>
    <ignoredError sqref="M7"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selection activeCell="D17" sqref="D17"/>
    </sheetView>
  </sheetViews>
  <sheetFormatPr defaultRowHeight="14.5" x14ac:dyDescent="0.35"/>
  <cols>
    <col min="3" max="4" width="8.7265625" style="1"/>
    <col min="5" max="5" width="18.6328125" customWidth="1"/>
    <col min="6" max="6" width="33.54296875" customWidth="1"/>
  </cols>
  <sheetData>
    <row r="1" spans="1:6" x14ac:dyDescent="0.35">
      <c r="A1" s="18" t="s">
        <v>11</v>
      </c>
      <c r="B1" s="18" t="s">
        <v>126</v>
      </c>
      <c r="C1" s="18" t="s">
        <v>131</v>
      </c>
      <c r="D1" s="18" t="s">
        <v>127</v>
      </c>
    </row>
    <row r="2" spans="1:6" x14ac:dyDescent="0.35">
      <c r="A2" s="19" t="s">
        <v>21</v>
      </c>
      <c r="B2" s="19" t="str">
        <f>IF(Table1_3[[#This Row],[Total Amount]]&gt;10000,"High Value","Normal")</f>
        <v>Normal</v>
      </c>
      <c r="C2" s="21">
        <f>AVERAGEIF(Table1_3[Category],Table1_3[[#This Row],[Category]],Table1_3[Total Amount])</f>
        <v>5833.333333333333</v>
      </c>
      <c r="D2" s="20">
        <f>Table1_3[[#This Row],[Unit Price]]-Table1_3[[#This Row],[Discount]]</f>
        <v>2499.9</v>
      </c>
      <c r="F2" t="s">
        <v>141</v>
      </c>
    </row>
    <row r="3" spans="1:6" x14ac:dyDescent="0.35">
      <c r="A3" s="22" t="s">
        <v>30</v>
      </c>
      <c r="B3" s="22" t="str">
        <f>IF(Table1_3[[#This Row],[Total Amount]]&gt;10000,"High Value","Normal")</f>
        <v>High Value</v>
      </c>
      <c r="C3" s="24">
        <f>AVERAGEIF(Table1_3[Category],Table1_3[[#This Row],[Category]],Table1_3[Total Amount])</f>
        <v>23333.333333333332</v>
      </c>
      <c r="D3" s="23">
        <f>Table1_3[[#This Row],[Unit Price]]-Table1_3[[#This Row],[Discount]]</f>
        <v>5999.92</v>
      </c>
    </row>
    <row r="4" spans="1:6" x14ac:dyDescent="0.35">
      <c r="A4" s="19" t="s">
        <v>21</v>
      </c>
      <c r="B4" s="19" t="str">
        <f>IF(Table1_3[[#This Row],[Total Amount]]&gt;10000,"High Value","Normal")</f>
        <v>Normal</v>
      </c>
      <c r="C4" s="21">
        <f>AVERAGEIF(Table1_3[Category],Table1_3[[#This Row],[Category]],Table1_3[Total Amount])</f>
        <v>3000</v>
      </c>
      <c r="D4" s="20">
        <f>Table1_3[[#This Row],[Unit Price]]-Table1_3[[#This Row],[Discount]]</f>
        <v>1499.93</v>
      </c>
    </row>
    <row r="5" spans="1:6" x14ac:dyDescent="0.35">
      <c r="A5" s="22" t="s">
        <v>47</v>
      </c>
      <c r="B5" s="22" t="str">
        <f>IF(Table1_3[[#This Row],[Total Amount]]&gt;10000,"High Value","Normal")</f>
        <v>Normal</v>
      </c>
      <c r="C5" s="24">
        <f>AVERAGEIF(Table1_3[Category],Table1_3[[#This Row],[Category]],Table1_3[Total Amount])</f>
        <v>7500</v>
      </c>
      <c r="D5" s="23">
        <f>Table1_3[[#This Row],[Unit Price]]-Table1_3[[#This Row],[Discount]]</f>
        <v>2999.95</v>
      </c>
    </row>
    <row r="6" spans="1:6" x14ac:dyDescent="0.35">
      <c r="A6" s="19" t="s">
        <v>30</v>
      </c>
      <c r="B6" s="19" t="str">
        <f>IF(Table1_3[[#This Row],[Total Amount]]&gt;10000,"High Value","Normal")</f>
        <v>Normal</v>
      </c>
      <c r="C6" s="21">
        <f>AVERAGEIF(Table1_3[Category],Table1_3[[#This Row],[Category]],Table1_3[Total Amount])</f>
        <v>5833.333333333333</v>
      </c>
      <c r="D6" s="20">
        <f>Table1_3[[#This Row],[Unit Price]]-Table1_3[[#This Row],[Discount]]</f>
        <v>2499.9</v>
      </c>
    </row>
    <row r="7" spans="1:6" x14ac:dyDescent="0.35">
      <c r="A7" s="22" t="s">
        <v>21</v>
      </c>
      <c r="B7" s="22" t="str">
        <f>IF(Table1_3[[#This Row],[Total Amount]]&gt;10000,"High Value","Normal")</f>
        <v>High Value</v>
      </c>
      <c r="C7" s="24">
        <f>AVERAGEIF(Table1_3[Category],Table1_3[[#This Row],[Category]],Table1_3[Total Amount])</f>
        <v>23333.333333333332</v>
      </c>
      <c r="D7" s="23">
        <f>Table1_3[[#This Row],[Unit Price]]-Table1_3[[#This Row],[Discount]]</f>
        <v>8000</v>
      </c>
    </row>
    <row r="8" spans="1:6" x14ac:dyDescent="0.35">
      <c r="A8" s="19" t="s">
        <v>21</v>
      </c>
      <c r="B8" s="19" t="str">
        <f>IF(Table1_3[[#This Row],[Total Amount]]&gt;10000,"High Value","Normal")</f>
        <v>High Value</v>
      </c>
      <c r="C8" s="21">
        <f>AVERAGEIF(Table1_3[Category],Table1_3[[#This Row],[Category]],Table1_3[Total Amount])</f>
        <v>23333.333333333332</v>
      </c>
      <c r="D8" s="20">
        <f>Table1_3[[#This Row],[Unit Price]]-Table1_3[[#This Row],[Discount]]</f>
        <v>5999.92</v>
      </c>
    </row>
    <row r="9" spans="1:6" x14ac:dyDescent="0.35">
      <c r="A9" s="22" t="s">
        <v>30</v>
      </c>
      <c r="B9" s="22" t="str">
        <f>IF(Table1_3[[#This Row],[Total Amount]]&gt;10000,"High Value","Normal")</f>
        <v>High Value</v>
      </c>
      <c r="C9" s="24">
        <f>AVERAGEIF(Table1_3[Category],Table1_3[[#This Row],[Category]],Table1_3[Total Amount])</f>
        <v>7500</v>
      </c>
      <c r="D9" s="23">
        <f>Table1_3[[#This Row],[Unit Price]]-Table1_3[[#This Row],[Discount]]</f>
        <v>2999.95</v>
      </c>
    </row>
    <row r="10" spans="1:6" x14ac:dyDescent="0.35">
      <c r="A10" s="19" t="s">
        <v>47</v>
      </c>
      <c r="B10" s="19" t="str">
        <f>IF(Table1_3[[#This Row],[Total Amount]]&gt;10000,"High Value","Normal")</f>
        <v>Normal</v>
      </c>
      <c r="C10" s="21">
        <f>AVERAGEIF(Table1_3[Category],Table1_3[[#This Row],[Category]],Table1_3[Total Amount])</f>
        <v>3000</v>
      </c>
      <c r="D10" s="20">
        <f>Table1_3[[#This Row],[Unit Price]]-Table1_3[[#This Row],[Discount]]</f>
        <v>1499.93</v>
      </c>
    </row>
    <row r="11" spans="1:6" x14ac:dyDescent="0.35">
      <c r="A11" s="22" t="s">
        <v>21</v>
      </c>
      <c r="B11" s="22" t="str">
        <f>IF(Table1_3[[#This Row],[Total Amount]]&gt;10000,"High Value","Normal")</f>
        <v>Normal</v>
      </c>
      <c r="C11" s="24">
        <f>AVERAGEIF(Table1_3[Category],Table1_3[[#This Row],[Category]],Table1_3[Total Amount])</f>
        <v>5833.333333333333</v>
      </c>
      <c r="D11" s="23">
        <f>Table1_3[[#This Row],[Unit Price]]-Table1_3[[#This Row],[Discount]]</f>
        <v>2499.9</v>
      </c>
    </row>
    <row r="17" spans="6:6" x14ac:dyDescent="0.35">
      <c r="F17" s="25" t="s">
        <v>142</v>
      </c>
    </row>
  </sheetData>
  <hyperlinks>
    <hyperlink ref="F17" location="Category_discount!A1" display="←"/>
  </hyperlink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markers="1" first="1" last="1">
          <x14:colorSeries theme="6" tint="-0.249977111117893"/>
          <x14:colorNegative theme="7"/>
          <x14:colorAxis rgb="FF000000"/>
          <x14:colorMarkers theme="7" tint="-0.249977111117893"/>
          <x14:colorFirst theme="7" tint="-0.249977111117893"/>
          <x14:colorLast theme="7" tint="-0.249977111117893"/>
          <x14:colorHigh theme="7" tint="-0.249977111117893"/>
          <x14:colorLow theme="7" tint="-0.249977111117893"/>
          <x14:sparklines>
            <x14:sparkline>
              <xm:f>Sheet1!C2:D2</xm:f>
              <xm:sqref>E2</xm:sqref>
            </x14:sparkline>
            <x14:sparkline>
              <xm:f>Sheet1!C3:D3</xm:f>
              <xm:sqref>E3</xm:sqref>
            </x14:sparkline>
            <x14:sparkline>
              <xm:f>Sheet1!C4:D4</xm:f>
              <xm:sqref>E4</xm:sqref>
            </x14:sparkline>
            <x14:sparkline>
              <xm:f>Sheet1!C5:D5</xm:f>
              <xm:sqref>E5</xm:sqref>
            </x14:sparkline>
            <x14:sparkline>
              <xm:f>Sheet1!C6:D6</xm:f>
              <xm:sqref>E6</xm:sqref>
            </x14:sparkline>
            <x14:sparkline>
              <xm:f>Sheet1!C7:D7</xm:f>
              <xm:sqref>E7</xm:sqref>
            </x14:sparkline>
            <x14:sparkline>
              <xm:f>Sheet1!C8:D8</xm:f>
              <xm:sqref>E8</xm:sqref>
            </x14:sparkline>
            <x14:sparkline>
              <xm:f>Sheet1!C9:D9</xm:f>
              <xm:sqref>E9</xm:sqref>
            </x14:sparkline>
            <x14:sparkline>
              <xm:f>Sheet1!C10:D10</xm:f>
              <xm:sqref>E10</xm:sqref>
            </x14:sparkline>
            <x14:sparkline>
              <xm:f>Sheet1!C11:D11</xm:f>
              <xm:sqref>E11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22" sqref="G22"/>
    </sheetView>
  </sheetViews>
  <sheetFormatPr defaultRowHeight="14.5" x14ac:dyDescent="0.35"/>
  <cols>
    <col min="1" max="1" width="12.26953125" customWidth="1"/>
    <col min="2" max="2" width="17.7265625" bestFit="1" customWidth="1"/>
    <col min="3" max="3" width="11.26953125" bestFit="1" customWidth="1"/>
    <col min="4" max="4" width="11.453125" customWidth="1"/>
  </cols>
  <sheetData>
    <row r="1" spans="1:4" x14ac:dyDescent="0.35">
      <c r="A1" s="3" t="s">
        <v>6</v>
      </c>
      <c r="B1" s="3" t="s">
        <v>77</v>
      </c>
      <c r="C1" s="3" t="s">
        <v>78</v>
      </c>
      <c r="D1" s="3" t="s">
        <v>79</v>
      </c>
    </row>
    <row r="2" spans="1:4" x14ac:dyDescent="0.35">
      <c r="A2" t="s">
        <v>17</v>
      </c>
      <c r="B2" t="s">
        <v>80</v>
      </c>
      <c r="C2" t="s">
        <v>81</v>
      </c>
      <c r="D2">
        <v>2500</v>
      </c>
    </row>
    <row r="3" spans="1:4" x14ac:dyDescent="0.35">
      <c r="A3" t="s">
        <v>27</v>
      </c>
      <c r="B3" t="s">
        <v>82</v>
      </c>
      <c r="C3" t="s">
        <v>83</v>
      </c>
      <c r="D3">
        <v>6000</v>
      </c>
    </row>
    <row r="4" spans="1:4" x14ac:dyDescent="0.35">
      <c r="A4" t="s">
        <v>44</v>
      </c>
      <c r="B4" t="s">
        <v>84</v>
      </c>
      <c r="C4" t="s">
        <v>85</v>
      </c>
      <c r="D4">
        <v>3000</v>
      </c>
    </row>
    <row r="5" spans="1:4" x14ac:dyDescent="0.35">
      <c r="A5" t="s">
        <v>59</v>
      </c>
      <c r="B5" t="s">
        <v>86</v>
      </c>
      <c r="C5" t="s">
        <v>83</v>
      </c>
      <c r="D5">
        <v>8000</v>
      </c>
    </row>
    <row r="6" spans="1:4" x14ac:dyDescent="0.35">
      <c r="A6" t="s">
        <v>35</v>
      </c>
      <c r="B6" t="s">
        <v>87</v>
      </c>
      <c r="C6" t="s">
        <v>88</v>
      </c>
      <c r="D6">
        <v>1500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3" sqref="C3"/>
    </sheetView>
  </sheetViews>
  <sheetFormatPr defaultRowHeight="14.5" x14ac:dyDescent="0.35"/>
  <cols>
    <col min="1" max="1" width="12" style="1" customWidth="1"/>
    <col min="2" max="2" width="10.26953125" customWidth="1"/>
    <col min="3" max="3" width="18.81640625" customWidth="1"/>
  </cols>
  <sheetData>
    <row r="1" spans="1:3" x14ac:dyDescent="0.35">
      <c r="A1" s="1" t="s">
        <v>98</v>
      </c>
      <c r="B1" s="2" t="s">
        <v>78</v>
      </c>
      <c r="C1" s="2" t="s">
        <v>89</v>
      </c>
    </row>
    <row r="2" spans="1:3" x14ac:dyDescent="0.35">
      <c r="A2" s="1" t="str">
        <f>INDEX(Product_Master!A2:A6,MATCH(Category_discount!B2,Product_Master!C2:C6,0))</f>
        <v>P101</v>
      </c>
      <c r="B2" s="1" t="s">
        <v>81</v>
      </c>
      <c r="C2" s="1">
        <v>0.1</v>
      </c>
    </row>
    <row r="3" spans="1:3" x14ac:dyDescent="0.35">
      <c r="A3" s="1" t="str">
        <f>INDEX(Product_Master!A3:A7,MATCH(Category_discount!B3,Product_Master!C3:C7,0))</f>
        <v>P102</v>
      </c>
      <c r="B3" s="1" t="s">
        <v>83</v>
      </c>
      <c r="C3" s="1">
        <v>0.08</v>
      </c>
    </row>
    <row r="4" spans="1:3" x14ac:dyDescent="0.35">
      <c r="A4" s="1" t="str">
        <f>INDEX(Product_Master!A4:A8,MATCH(Category_discount!B4,Product_Master!C4:C8,0))</f>
        <v>P103</v>
      </c>
      <c r="B4" s="1" t="s">
        <v>85</v>
      </c>
      <c r="C4" s="1">
        <v>0.05</v>
      </c>
    </row>
    <row r="5" spans="1:3" x14ac:dyDescent="0.35">
      <c r="A5" s="1" t="str">
        <f>INDEX(Product_Master!A5:A9,MATCH(Category_discount!B5,Product_Master!C5:C9,0))</f>
        <v>P105</v>
      </c>
      <c r="B5" s="1" t="s">
        <v>88</v>
      </c>
      <c r="C5" s="1">
        <v>7.0000000000000007E-2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I16" sqref="I16"/>
    </sheetView>
  </sheetViews>
  <sheetFormatPr defaultRowHeight="14.5" x14ac:dyDescent="0.35"/>
  <cols>
    <col min="1" max="1" width="12.36328125" bestFit="1" customWidth="1"/>
    <col min="2" max="2" width="14.90625" customWidth="1"/>
    <col min="3" max="3" width="18.81640625" bestFit="1" customWidth="1"/>
  </cols>
  <sheetData>
    <row r="3" spans="1:3" x14ac:dyDescent="0.35">
      <c r="A3" s="13" t="s">
        <v>133</v>
      </c>
      <c r="B3" s="1" t="s">
        <v>136</v>
      </c>
      <c r="C3" s="1" t="s">
        <v>140</v>
      </c>
    </row>
    <row r="4" spans="1:3" x14ac:dyDescent="0.35">
      <c r="A4" s="14" t="s">
        <v>42</v>
      </c>
      <c r="B4" s="4">
        <v>1010</v>
      </c>
      <c r="C4" s="4">
        <v>5000</v>
      </c>
    </row>
    <row r="5" spans="1:3" x14ac:dyDescent="0.35">
      <c r="A5" s="14" t="s">
        <v>15</v>
      </c>
      <c r="B5" s="4">
        <v>2009</v>
      </c>
      <c r="C5" s="4">
        <v>19500</v>
      </c>
    </row>
    <row r="6" spans="1:3" x14ac:dyDescent="0.35">
      <c r="A6" s="14" t="s">
        <v>25</v>
      </c>
      <c r="B6" s="4">
        <v>3011</v>
      </c>
      <c r="C6" s="4">
        <v>20000</v>
      </c>
    </row>
    <row r="7" spans="1:3" x14ac:dyDescent="0.35">
      <c r="A7" s="14" t="s">
        <v>65</v>
      </c>
      <c r="B7" s="4">
        <v>2010</v>
      </c>
      <c r="C7" s="4">
        <v>21000</v>
      </c>
    </row>
    <row r="8" spans="1:3" x14ac:dyDescent="0.35">
      <c r="A8" s="14" t="s">
        <v>57</v>
      </c>
      <c r="B8" s="4">
        <v>2015</v>
      </c>
      <c r="C8" s="4">
        <v>43000</v>
      </c>
    </row>
    <row r="9" spans="1:3" x14ac:dyDescent="0.35">
      <c r="A9" s="14" t="s">
        <v>134</v>
      </c>
      <c r="B9" s="4">
        <v>10055</v>
      </c>
      <c r="C9" s="4">
        <v>108500</v>
      </c>
    </row>
  </sheetData>
  <sortState ref="A3:C9">
    <sortCondition ref="B4"/>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abSelected="1" workbookViewId="0">
      <selection activeCell="L7" sqref="L7"/>
    </sheetView>
  </sheetViews>
  <sheetFormatPr defaultRowHeight="14.5" x14ac:dyDescent="0.35"/>
  <cols>
    <col min="1" max="1" width="12.36328125" bestFit="1" customWidth="1"/>
    <col min="2" max="2" width="13.26953125" customWidth="1"/>
    <col min="3" max="3" width="15.90625" customWidth="1"/>
  </cols>
  <sheetData>
    <row r="3" spans="1:2" x14ac:dyDescent="0.35">
      <c r="A3" s="13" t="s">
        <v>133</v>
      </c>
      <c r="B3" t="s">
        <v>135</v>
      </c>
    </row>
    <row r="4" spans="1:2" x14ac:dyDescent="0.35">
      <c r="A4" s="14" t="s">
        <v>88</v>
      </c>
      <c r="B4" s="4">
        <v>6000</v>
      </c>
    </row>
    <row r="5" spans="1:2" x14ac:dyDescent="0.35">
      <c r="A5" s="15" t="s">
        <v>139</v>
      </c>
      <c r="B5" s="4">
        <v>6000</v>
      </c>
    </row>
    <row r="6" spans="1:2" x14ac:dyDescent="0.35">
      <c r="A6" s="16" t="s">
        <v>138</v>
      </c>
      <c r="B6" s="4">
        <v>6000</v>
      </c>
    </row>
    <row r="7" spans="1:2" x14ac:dyDescent="0.35">
      <c r="A7" s="14" t="s">
        <v>81</v>
      </c>
      <c r="B7" s="4">
        <v>17500</v>
      </c>
    </row>
    <row r="8" spans="1:2" x14ac:dyDescent="0.35">
      <c r="A8" s="15" t="s">
        <v>139</v>
      </c>
      <c r="B8" s="4">
        <v>17500</v>
      </c>
    </row>
    <row r="9" spans="1:2" x14ac:dyDescent="0.35">
      <c r="A9" s="16" t="s">
        <v>138</v>
      </c>
      <c r="B9" s="4">
        <v>17500</v>
      </c>
    </row>
    <row r="10" spans="1:2" x14ac:dyDescent="0.35">
      <c r="A10" s="14" t="s">
        <v>83</v>
      </c>
      <c r="B10" s="4">
        <v>70000</v>
      </c>
    </row>
    <row r="11" spans="1:2" x14ac:dyDescent="0.35">
      <c r="A11" s="15" t="s">
        <v>139</v>
      </c>
      <c r="B11" s="4">
        <v>70000</v>
      </c>
    </row>
    <row r="12" spans="1:2" x14ac:dyDescent="0.35">
      <c r="A12" s="16" t="s">
        <v>138</v>
      </c>
      <c r="B12" s="4">
        <v>70000</v>
      </c>
    </row>
    <row r="13" spans="1:2" x14ac:dyDescent="0.35">
      <c r="A13" s="14" t="s">
        <v>85</v>
      </c>
      <c r="B13" s="4">
        <v>15000</v>
      </c>
    </row>
    <row r="14" spans="1:2" x14ac:dyDescent="0.35">
      <c r="A14" s="15" t="s">
        <v>139</v>
      </c>
      <c r="B14" s="4">
        <v>15000</v>
      </c>
    </row>
    <row r="15" spans="1:2" x14ac:dyDescent="0.35">
      <c r="A15" s="16" t="s">
        <v>138</v>
      </c>
      <c r="B15" s="4">
        <v>15000</v>
      </c>
    </row>
    <row r="16" spans="1:2" x14ac:dyDescent="0.35">
      <c r="A16" s="14" t="s">
        <v>134</v>
      </c>
      <c r="B16" s="4">
        <v>108500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 sqref="B1:B5"/>
    </sheetView>
  </sheetViews>
  <sheetFormatPr defaultRowHeight="14.5" x14ac:dyDescent="0.35"/>
  <cols>
    <col min="1" max="1" width="12.36328125" bestFit="1" customWidth="1"/>
    <col min="2" max="2" width="14.90625" customWidth="1"/>
    <col min="3" max="3" width="15.54296875" bestFit="1" customWidth="1"/>
  </cols>
  <sheetData>
    <row r="1" spans="1:2" x14ac:dyDescent="0.35">
      <c r="A1" s="13" t="s">
        <v>133</v>
      </c>
      <c r="B1" t="s">
        <v>136</v>
      </c>
    </row>
    <row r="2" spans="1:2" x14ac:dyDescent="0.35">
      <c r="A2" s="14" t="s">
        <v>51</v>
      </c>
      <c r="B2" s="4">
        <v>2007</v>
      </c>
    </row>
    <row r="3" spans="1:2" x14ac:dyDescent="0.35">
      <c r="A3" s="14" t="s">
        <v>58</v>
      </c>
      <c r="B3" s="4">
        <v>4029</v>
      </c>
    </row>
    <row r="4" spans="1:2" x14ac:dyDescent="0.35">
      <c r="A4" s="14" t="s">
        <v>94</v>
      </c>
      <c r="B4" s="4">
        <v>4019</v>
      </c>
    </row>
    <row r="5" spans="1:2" x14ac:dyDescent="0.35">
      <c r="A5" s="14" t="s">
        <v>134</v>
      </c>
      <c r="B5" s="4">
        <v>10055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topLeftCell="A4" workbookViewId="0">
      <selection activeCell="A21" sqref="A21"/>
    </sheetView>
  </sheetViews>
  <sheetFormatPr defaultRowHeight="14.5" x14ac:dyDescent="0.35"/>
  <cols>
    <col min="1" max="1" width="57" bestFit="1" customWidth="1"/>
  </cols>
  <sheetData>
    <row r="1" spans="1:1" x14ac:dyDescent="0.35">
      <c r="A1" s="6" t="s">
        <v>90</v>
      </c>
    </row>
    <row r="2" spans="1:1" x14ac:dyDescent="0.35">
      <c r="A2" s="6" t="s">
        <v>99</v>
      </c>
    </row>
    <row r="3" spans="1:1" x14ac:dyDescent="0.35">
      <c r="A3" s="6" t="s">
        <v>100</v>
      </c>
    </row>
    <row r="4" spans="1:1" x14ac:dyDescent="0.35">
      <c r="A4" s="6" t="s">
        <v>101</v>
      </c>
    </row>
    <row r="5" spans="1:1" x14ac:dyDescent="0.35">
      <c r="A5" s="6" t="s">
        <v>102</v>
      </c>
    </row>
    <row r="6" spans="1:1" x14ac:dyDescent="0.35">
      <c r="A6" s="6" t="s">
        <v>103</v>
      </c>
    </row>
    <row r="7" spans="1:1" x14ac:dyDescent="0.35">
      <c r="A7" s="6" t="s">
        <v>104</v>
      </c>
    </row>
    <row r="8" spans="1:1" x14ac:dyDescent="0.35">
      <c r="A8" s="6" t="s">
        <v>105</v>
      </c>
    </row>
    <row r="9" spans="1:1" x14ac:dyDescent="0.35">
      <c r="A9" s="6" t="s">
        <v>106</v>
      </c>
    </row>
    <row r="10" spans="1:1" x14ac:dyDescent="0.35">
      <c r="A10" s="6" t="s">
        <v>107</v>
      </c>
    </row>
    <row r="11" spans="1:1" x14ac:dyDescent="0.35">
      <c r="A11" s="6" t="s">
        <v>108</v>
      </c>
    </row>
    <row r="12" spans="1:1" x14ac:dyDescent="0.35">
      <c r="A12" s="6" t="s">
        <v>109</v>
      </c>
    </row>
    <row r="13" spans="1:1" x14ac:dyDescent="0.35">
      <c r="A13" s="6" t="s">
        <v>110</v>
      </c>
    </row>
    <row r="14" spans="1:1" x14ac:dyDescent="0.35">
      <c r="A14" s="6" t="s">
        <v>111</v>
      </c>
    </row>
    <row r="15" spans="1:1" x14ac:dyDescent="0.35">
      <c r="A15" s="6" t="s">
        <v>112</v>
      </c>
    </row>
    <row r="16" spans="1:1" x14ac:dyDescent="0.35">
      <c r="A16" s="6" t="s">
        <v>113</v>
      </c>
    </row>
    <row r="17" spans="1:1" x14ac:dyDescent="0.35">
      <c r="A17" s="6" t="s">
        <v>114</v>
      </c>
    </row>
    <row r="18" spans="1:1" x14ac:dyDescent="0.35">
      <c r="A18" s="6" t="s">
        <v>115</v>
      </c>
    </row>
    <row r="19" spans="1:1" x14ac:dyDescent="0.35">
      <c r="A19" s="6" t="s">
        <v>116</v>
      </c>
    </row>
    <row r="20" spans="1:1" x14ac:dyDescent="0.35">
      <c r="A20" s="6" t="s">
        <v>117</v>
      </c>
    </row>
    <row r="21" spans="1:1" x14ac:dyDescent="0.35">
      <c r="A21" s="6" t="s">
        <v>118</v>
      </c>
    </row>
    <row r="22" spans="1:1" x14ac:dyDescent="0.35">
      <c r="A22" s="6" t="s">
        <v>119</v>
      </c>
    </row>
    <row r="23" spans="1:1" x14ac:dyDescent="0.35">
      <c r="A23" s="6" t="s">
        <v>120</v>
      </c>
    </row>
    <row r="24" spans="1:1" x14ac:dyDescent="0.35">
      <c r="A24" s="6" t="s">
        <v>121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BC89E8-BC66-4882-BD86-A3CC3A9C37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vt:lpstr>
      <vt:lpstr>Sale </vt:lpstr>
      <vt:lpstr>Sheet1</vt:lpstr>
      <vt:lpstr>Product_Master</vt:lpstr>
      <vt:lpstr>Category_discount</vt:lpstr>
      <vt:lpstr>orders and sale by city</vt:lpstr>
      <vt:lpstr>Sale by Category</vt:lpstr>
      <vt:lpstr>orders by region</vt:lpstr>
      <vt:lpstr>step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2025-10-18T06:36:31Z</dcterms:created>
  <dcterms:modified xsi:type="dcterms:W3CDTF">2025-11-16T09:41:52Z</dcterms:modified>
</cp:coreProperties>
</file>